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 1 Zero-Padding" sheetId="1" r:id="rId4"/>
    <sheet state="visible" name="Experiment 2 Interpolation" sheetId="2" r:id="rId5"/>
    <sheet state="visible" name="Cross-Experiment" sheetId="3" r:id="rId6"/>
  </sheets>
  <definedNames/>
  <calcPr/>
</workbook>
</file>

<file path=xl/sharedStrings.xml><?xml version="1.0" encoding="utf-8"?>
<sst xmlns="http://schemas.openxmlformats.org/spreadsheetml/2006/main" count="337" uniqueCount="83">
  <si>
    <t>architecture</t>
  </si>
  <si>
    <t>model</t>
  </si>
  <si>
    <t>imagenet</t>
  </si>
  <si>
    <t>test_loss</t>
  </si>
  <si>
    <t>accuracy</t>
  </si>
  <si>
    <t>accuracy_lower</t>
  </si>
  <si>
    <t>accuracy_upper</t>
  </si>
  <si>
    <t>fnr</t>
  </si>
  <si>
    <t>fnr_lower</t>
  </si>
  <si>
    <t>fnr_upper</t>
  </si>
  <si>
    <t>fpr</t>
  </si>
  <si>
    <t>fpr_lower</t>
  </si>
  <si>
    <t>fpr_upper</t>
  </si>
  <si>
    <t>npv</t>
  </si>
  <si>
    <t>npv_lower</t>
  </si>
  <si>
    <t>npv_upper</t>
  </si>
  <si>
    <t>ppv</t>
  </si>
  <si>
    <t>ppv_lower</t>
  </si>
  <si>
    <t>ppv_upper</t>
  </si>
  <si>
    <t>sensitivity</t>
  </si>
  <si>
    <t>sensitivity_lower</t>
  </si>
  <si>
    <t>sensitivity_upper</t>
  </si>
  <si>
    <t>specificity</t>
  </si>
  <si>
    <t>specificity_lower</t>
  </si>
  <si>
    <t>specificity_upper</t>
  </si>
  <si>
    <t>f1</t>
  </si>
  <si>
    <t>f1_lower</t>
  </si>
  <si>
    <t>f1_upper</t>
  </si>
  <si>
    <t>f2</t>
  </si>
  <si>
    <t>f2_lower</t>
  </si>
  <si>
    <t>f2_upper</t>
  </si>
  <si>
    <t>mcc</t>
  </si>
  <si>
    <t>mcc_lower</t>
  </si>
  <si>
    <t>mcc_upper</t>
  </si>
  <si>
    <t>auc_roc</t>
  </si>
  <si>
    <t>auc_roc_lower</t>
  </si>
  <si>
    <t>auc_roc_upper</t>
  </si>
  <si>
    <t>auc_pr</t>
  </si>
  <si>
    <t>auc_pr_lower</t>
  </si>
  <si>
    <t>auc_pr_upper</t>
  </si>
  <si>
    <t>training_time</t>
  </si>
  <si>
    <t>best_epoch</t>
  </si>
  <si>
    <t>n_parameters</t>
  </si>
  <si>
    <t>CNN</t>
  </si>
  <si>
    <t>VGG16-1K</t>
  </si>
  <si>
    <t>1k</t>
  </si>
  <si>
    <t>InceptionV3-1K</t>
  </si>
  <si>
    <t>ResNet50-1K</t>
  </si>
  <si>
    <t>ResNet50-21K</t>
  </si>
  <si>
    <t>21k</t>
  </si>
  <si>
    <t>MobileNetV3-Large-21K</t>
  </si>
  <si>
    <t>ViT</t>
  </si>
  <si>
    <t>ViT-T-16-21K</t>
  </si>
  <si>
    <t>ViT-B-16-1K</t>
  </si>
  <si>
    <t>ViT-B-16-21K</t>
  </si>
  <si>
    <t>ViT-L-16-1K</t>
  </si>
  <si>
    <t>ViT-L-16-21K</t>
  </si>
  <si>
    <t>** main table - no CI's **</t>
  </si>
  <si>
    <t>** supp table - no CI's **</t>
  </si>
  <si>
    <t>Architecture</t>
  </si>
  <si>
    <t>Model</t>
  </si>
  <si>
    <t>FNR</t>
  </si>
  <si>
    <t>Sensitivity</t>
  </si>
  <si>
    <t>NPV</t>
  </si>
  <si>
    <t>F2 Score</t>
  </si>
  <si>
    <t>MCC</t>
  </si>
  <si>
    <t>Best Epoch</t>
  </si>
  <si>
    <t>FPR</t>
  </si>
  <si>
    <t>Specificity</t>
  </si>
  <si>
    <t>PPV</t>
  </si>
  <si>
    <t>F1 Score</t>
  </si>
  <si>
    <t>AUC-ROC</t>
  </si>
  <si>
    <t>AUC-PR</t>
  </si>
  <si>
    <t>Accuracy</t>
  </si>
  <si>
    <t>Average</t>
  </si>
  <si>
    <t>** architecture-wide main metrics**</t>
  </si>
  <si>
    <t>** architecture-wide supp metrics**</t>
  </si>
  <si>
    <t>e2 - e1 difference main</t>
  </si>
  <si>
    <t>e2 - e1 difference supp</t>
  </si>
  <si>
    <t>Average (CNN)</t>
  </si>
  <si>
    <t>Average (ViT)</t>
  </si>
  <si>
    <t>Average (All)</t>
  </si>
  <si>
    <t>Experiment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</si>
</sst>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rgb="FF000000"/>
      <name val="Menlo"/>
    </font>
    <font>
      <sz val="10.0"/>
      <color rgb="FF000000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2" fontId="7" numFmtId="0" xfId="0" applyAlignment="1" applyFill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3" numFmtId="0" xfId="0" applyFont="1"/>
    <xf borderId="0" fillId="0" fontId="3" numFmtId="10" xfId="0" applyFont="1" applyNumberFormat="1"/>
    <xf borderId="0" fillId="0" fontId="7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0" fontId="7" numFmtId="10" xfId="0" applyFont="1" applyNumberForma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12" max="12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4" t="s">
        <v>42</v>
      </c>
    </row>
    <row r="2">
      <c r="A2" s="5" t="s">
        <v>43</v>
      </c>
      <c r="B2" s="6" t="s">
        <v>44</v>
      </c>
      <c r="C2" s="6" t="s">
        <v>45</v>
      </c>
      <c r="D2" s="7">
        <v>0.575</v>
      </c>
      <c r="E2" s="7">
        <v>72.2</v>
      </c>
      <c r="F2" s="7">
        <v>65.9</v>
      </c>
      <c r="G2" s="7">
        <v>78.0</v>
      </c>
      <c r="H2" s="7">
        <v>0.184</v>
      </c>
      <c r="I2" s="7">
        <v>0.112</v>
      </c>
      <c r="J2" s="7">
        <v>0.265</v>
      </c>
      <c r="K2" s="7">
        <v>0.352</v>
      </c>
      <c r="L2" s="7">
        <v>0.272</v>
      </c>
      <c r="M2" s="7">
        <v>0.44</v>
      </c>
      <c r="N2" s="7">
        <v>0.818</v>
      </c>
      <c r="O2" s="7">
        <v>0.752</v>
      </c>
      <c r="P2" s="7">
        <v>0.884</v>
      </c>
      <c r="Q2" s="7">
        <v>0.645</v>
      </c>
      <c r="R2" s="7">
        <v>0.587</v>
      </c>
      <c r="S2" s="7">
        <v>0.707</v>
      </c>
      <c r="T2" s="7">
        <v>0.816</v>
      </c>
      <c r="U2" s="7">
        <v>0.735</v>
      </c>
      <c r="V2" s="7">
        <v>0.888</v>
      </c>
      <c r="W2" s="7">
        <v>0.648</v>
      </c>
      <c r="X2" s="7">
        <v>0.56</v>
      </c>
      <c r="Y2" s="7">
        <v>0.728</v>
      </c>
      <c r="Z2" s="7">
        <v>0.721</v>
      </c>
      <c r="AA2" s="7">
        <v>0.661</v>
      </c>
      <c r="AB2" s="7">
        <v>0.775</v>
      </c>
      <c r="AC2" s="7">
        <v>0.775</v>
      </c>
      <c r="AD2" s="7">
        <v>0.707</v>
      </c>
      <c r="AE2" s="7">
        <v>0.836</v>
      </c>
      <c r="AF2" s="7">
        <v>0.464</v>
      </c>
      <c r="AG2" s="7">
        <v>0.346</v>
      </c>
      <c r="AH2" s="7">
        <v>0.574</v>
      </c>
      <c r="AI2" s="7">
        <v>0.852</v>
      </c>
      <c r="AJ2" s="7">
        <v>0.798</v>
      </c>
      <c r="AK2" s="7">
        <v>0.9</v>
      </c>
      <c r="AL2" s="7">
        <v>0.831</v>
      </c>
      <c r="AM2" s="7">
        <v>0.763</v>
      </c>
      <c r="AN2" s="7">
        <v>0.892</v>
      </c>
      <c r="AO2" s="7">
        <v>772.61</v>
      </c>
      <c r="AP2" s="7">
        <v>3.0</v>
      </c>
      <c r="AQ2" s="8">
        <v>1.34264641E8</v>
      </c>
    </row>
    <row r="3">
      <c r="B3" s="6" t="s">
        <v>46</v>
      </c>
      <c r="C3" s="6" t="s">
        <v>45</v>
      </c>
      <c r="D3" s="7">
        <v>0.625</v>
      </c>
      <c r="E3" s="7">
        <v>75.3</v>
      </c>
      <c r="F3" s="7">
        <v>69.5</v>
      </c>
      <c r="G3" s="7">
        <v>80.7</v>
      </c>
      <c r="H3" s="7">
        <v>0.235</v>
      </c>
      <c r="I3" s="7">
        <v>0.153</v>
      </c>
      <c r="J3" s="7">
        <v>0.32</v>
      </c>
      <c r="K3" s="7">
        <v>0.256</v>
      </c>
      <c r="L3" s="7">
        <v>0.18</v>
      </c>
      <c r="M3" s="7">
        <v>0.336</v>
      </c>
      <c r="N3" s="7">
        <v>0.802</v>
      </c>
      <c r="O3" s="7">
        <v>0.742</v>
      </c>
      <c r="P3" s="7">
        <v>0.862</v>
      </c>
      <c r="Q3" s="7">
        <v>0.701</v>
      </c>
      <c r="R3" s="7">
        <v>0.635</v>
      </c>
      <c r="S3" s="7">
        <v>0.77</v>
      </c>
      <c r="T3" s="7">
        <v>0.765</v>
      </c>
      <c r="U3" s="7">
        <v>0.673</v>
      </c>
      <c r="V3" s="7">
        <v>0.847</v>
      </c>
      <c r="W3" s="7">
        <v>0.744</v>
      </c>
      <c r="X3" s="7">
        <v>0.664</v>
      </c>
      <c r="Y3" s="7">
        <v>0.816</v>
      </c>
      <c r="Z3" s="7">
        <v>0.732</v>
      </c>
      <c r="AA3" s="7">
        <v>0.667</v>
      </c>
      <c r="AB3" s="7">
        <v>0.79</v>
      </c>
      <c r="AC3" s="7">
        <v>0.752</v>
      </c>
      <c r="AD3" s="7">
        <v>0.675</v>
      </c>
      <c r="AE3" s="7">
        <v>0.82</v>
      </c>
      <c r="AF3" s="7">
        <v>0.506</v>
      </c>
      <c r="AG3" s="7">
        <v>0.388</v>
      </c>
      <c r="AH3" s="7">
        <v>0.616</v>
      </c>
      <c r="AI3" s="7">
        <v>0.812</v>
      </c>
      <c r="AJ3" s="7">
        <v>0.751</v>
      </c>
      <c r="AK3" s="7">
        <v>0.866</v>
      </c>
      <c r="AL3" s="7">
        <v>0.788</v>
      </c>
      <c r="AM3" s="7">
        <v>0.72</v>
      </c>
      <c r="AN3" s="7">
        <v>0.851</v>
      </c>
      <c r="AO3" s="7">
        <v>2090.655</v>
      </c>
      <c r="AP3" s="7">
        <v>44.0</v>
      </c>
      <c r="AQ3" s="9">
        <v>2.5114313E7</v>
      </c>
    </row>
    <row r="4">
      <c r="B4" s="6" t="s">
        <v>47</v>
      </c>
      <c r="C4" s="6" t="s">
        <v>45</v>
      </c>
      <c r="D4" s="7">
        <v>0.631</v>
      </c>
      <c r="E4" s="7">
        <v>72.6</v>
      </c>
      <c r="F4" s="7">
        <v>66.8</v>
      </c>
      <c r="G4" s="7">
        <v>78.5</v>
      </c>
      <c r="H4" s="7">
        <v>0.337</v>
      </c>
      <c r="I4" s="7">
        <v>0.245</v>
      </c>
      <c r="J4" s="7">
        <v>0.429</v>
      </c>
      <c r="K4" s="7">
        <v>0.224</v>
      </c>
      <c r="L4" s="7">
        <v>0.152</v>
      </c>
      <c r="M4" s="7">
        <v>0.296</v>
      </c>
      <c r="N4" s="7">
        <v>0.746</v>
      </c>
      <c r="O4" s="7">
        <v>0.692</v>
      </c>
      <c r="P4" s="7">
        <v>0.803</v>
      </c>
      <c r="Q4" s="7">
        <v>0.699</v>
      </c>
      <c r="R4" s="7">
        <v>0.626</v>
      </c>
      <c r="S4" s="7">
        <v>0.776</v>
      </c>
      <c r="T4" s="7">
        <v>0.663</v>
      </c>
      <c r="U4" s="7">
        <v>0.571</v>
      </c>
      <c r="V4" s="7">
        <v>0.755</v>
      </c>
      <c r="W4" s="7">
        <v>0.776</v>
      </c>
      <c r="X4" s="7">
        <v>0.704</v>
      </c>
      <c r="Y4" s="7">
        <v>0.848</v>
      </c>
      <c r="Z4" s="7">
        <v>0.681</v>
      </c>
      <c r="AA4" s="7">
        <v>0.606</v>
      </c>
      <c r="AB4" s="7">
        <v>0.749</v>
      </c>
      <c r="AC4" s="7">
        <v>0.67</v>
      </c>
      <c r="AD4" s="7">
        <v>0.583</v>
      </c>
      <c r="AE4" s="7">
        <v>0.751</v>
      </c>
      <c r="AF4" s="7">
        <v>0.442</v>
      </c>
      <c r="AG4" s="7">
        <v>0.321</v>
      </c>
      <c r="AH4" s="7">
        <v>0.561</v>
      </c>
      <c r="AI4" s="7">
        <v>0.8</v>
      </c>
      <c r="AJ4" s="7">
        <v>0.739</v>
      </c>
      <c r="AK4" s="7">
        <v>0.855</v>
      </c>
      <c r="AL4" s="7">
        <v>0.778</v>
      </c>
      <c r="AM4" s="7">
        <v>0.711</v>
      </c>
      <c r="AN4" s="7">
        <v>0.841</v>
      </c>
      <c r="AO4" s="7">
        <v>1489.726</v>
      </c>
      <c r="AP4" s="7">
        <v>45.0</v>
      </c>
      <c r="AQ4" s="8">
        <v>2.3510081E7</v>
      </c>
    </row>
    <row r="5">
      <c r="B5" s="6" t="s">
        <v>48</v>
      </c>
      <c r="C5" s="6" t="s">
        <v>49</v>
      </c>
      <c r="D5" s="7">
        <v>0.562</v>
      </c>
      <c r="E5" s="7">
        <v>74.4</v>
      </c>
      <c r="F5" s="7">
        <v>68.60000000000001</v>
      </c>
      <c r="G5" s="7">
        <v>80.30000000000001</v>
      </c>
      <c r="H5" s="7">
        <v>0.235</v>
      </c>
      <c r="I5" s="7">
        <v>0.153</v>
      </c>
      <c r="J5" s="7">
        <v>0.327</v>
      </c>
      <c r="K5" s="7">
        <v>0.272</v>
      </c>
      <c r="L5" s="7">
        <v>0.2</v>
      </c>
      <c r="M5" s="7">
        <v>0.352</v>
      </c>
      <c r="N5" s="7">
        <v>0.798</v>
      </c>
      <c r="O5" s="7">
        <v>0.737</v>
      </c>
      <c r="P5" s="7">
        <v>0.86</v>
      </c>
      <c r="Q5" s="7">
        <v>0.688</v>
      </c>
      <c r="R5" s="7">
        <v>0.623</v>
      </c>
      <c r="S5" s="7">
        <v>0.757</v>
      </c>
      <c r="T5" s="7">
        <v>0.765</v>
      </c>
      <c r="U5" s="7">
        <v>0.673</v>
      </c>
      <c r="V5" s="7">
        <v>0.847</v>
      </c>
      <c r="W5" s="7">
        <v>0.728</v>
      </c>
      <c r="X5" s="7">
        <v>0.648</v>
      </c>
      <c r="Y5" s="7">
        <v>0.808</v>
      </c>
      <c r="Z5" s="7">
        <v>0.725</v>
      </c>
      <c r="AA5" s="7">
        <v>0.66</v>
      </c>
      <c r="AB5" s="7">
        <v>0.785</v>
      </c>
      <c r="AC5" s="7">
        <v>0.749</v>
      </c>
      <c r="AD5" s="7">
        <v>0.671</v>
      </c>
      <c r="AE5" s="7">
        <v>0.817</v>
      </c>
      <c r="AF5" s="7">
        <v>0.49</v>
      </c>
      <c r="AG5" s="7">
        <v>0.371</v>
      </c>
      <c r="AH5" s="7">
        <v>0.603</v>
      </c>
      <c r="AI5" s="7">
        <v>0.833</v>
      </c>
      <c r="AJ5" s="7">
        <v>0.777</v>
      </c>
      <c r="AK5" s="7">
        <v>0.884</v>
      </c>
      <c r="AL5" s="7">
        <v>0.824</v>
      </c>
      <c r="AM5" s="7">
        <v>0.765</v>
      </c>
      <c r="AN5" s="7">
        <v>0.877</v>
      </c>
      <c r="AO5" s="7">
        <v>1438.437</v>
      </c>
      <c r="AP5" s="7">
        <v>42.0</v>
      </c>
      <c r="AQ5" s="9">
        <v>2.3502401E7</v>
      </c>
    </row>
    <row r="6">
      <c r="B6" s="6" t="s">
        <v>50</v>
      </c>
      <c r="C6" s="6" t="s">
        <v>49</v>
      </c>
      <c r="D6" s="7">
        <v>0.623</v>
      </c>
      <c r="E6" s="7">
        <v>73.1</v>
      </c>
      <c r="F6" s="7">
        <v>67.30000000000001</v>
      </c>
      <c r="G6" s="7">
        <v>78.9</v>
      </c>
      <c r="H6" s="7">
        <v>0.224</v>
      </c>
      <c r="I6" s="7">
        <v>0.143</v>
      </c>
      <c r="J6" s="7">
        <v>0.316</v>
      </c>
      <c r="K6" s="7">
        <v>0.304</v>
      </c>
      <c r="L6" s="7">
        <v>0.224</v>
      </c>
      <c r="M6" s="7">
        <v>0.384</v>
      </c>
      <c r="N6" s="7">
        <v>0.798</v>
      </c>
      <c r="O6" s="7">
        <v>0.736</v>
      </c>
      <c r="P6" s="7">
        <v>0.862</v>
      </c>
      <c r="Q6" s="7">
        <v>0.667</v>
      </c>
      <c r="R6" s="7">
        <v>0.605</v>
      </c>
      <c r="S6" s="7">
        <v>0.732</v>
      </c>
      <c r="T6" s="7">
        <v>0.776</v>
      </c>
      <c r="U6" s="7">
        <v>0.684</v>
      </c>
      <c r="V6" s="7">
        <v>0.857</v>
      </c>
      <c r="W6" s="7">
        <v>0.696</v>
      </c>
      <c r="X6" s="7">
        <v>0.616</v>
      </c>
      <c r="Y6" s="7">
        <v>0.776</v>
      </c>
      <c r="Z6" s="7">
        <v>0.717</v>
      </c>
      <c r="AA6" s="7">
        <v>0.654</v>
      </c>
      <c r="AB6" s="7">
        <v>0.775</v>
      </c>
      <c r="AC6" s="7">
        <v>0.751</v>
      </c>
      <c r="AD6" s="7">
        <v>0.676</v>
      </c>
      <c r="AE6" s="7">
        <v>0.819</v>
      </c>
      <c r="AF6" s="7">
        <v>0.468</v>
      </c>
      <c r="AG6" s="7">
        <v>0.35</v>
      </c>
      <c r="AH6" s="7">
        <v>0.582</v>
      </c>
      <c r="AI6" s="7">
        <v>0.803</v>
      </c>
      <c r="AJ6" s="7">
        <v>0.741</v>
      </c>
      <c r="AK6" s="7">
        <v>0.858</v>
      </c>
      <c r="AL6" s="7">
        <v>0.79</v>
      </c>
      <c r="AM6" s="7">
        <v>0.728</v>
      </c>
      <c r="AN6" s="7">
        <v>0.849</v>
      </c>
      <c r="AO6" s="7">
        <v>359.757</v>
      </c>
      <c r="AP6" s="7">
        <v>45.0</v>
      </c>
      <c r="AQ6" s="9">
        <v>4203313.0</v>
      </c>
    </row>
    <row r="7">
      <c r="A7" s="5" t="s">
        <v>51</v>
      </c>
      <c r="B7" s="6" t="s">
        <v>52</v>
      </c>
      <c r="C7" s="6" t="s">
        <v>49</v>
      </c>
      <c r="D7" s="7">
        <v>0.603</v>
      </c>
      <c r="E7" s="7">
        <v>75.8</v>
      </c>
      <c r="F7" s="7">
        <v>70.0</v>
      </c>
      <c r="G7" s="7">
        <v>81.2</v>
      </c>
      <c r="H7" s="7">
        <v>0.255</v>
      </c>
      <c r="I7" s="7">
        <v>0.173</v>
      </c>
      <c r="J7" s="7">
        <v>0.347</v>
      </c>
      <c r="K7" s="7">
        <v>0.232</v>
      </c>
      <c r="L7" s="7">
        <v>0.16</v>
      </c>
      <c r="M7" s="7">
        <v>0.312</v>
      </c>
      <c r="N7" s="7">
        <v>0.793</v>
      </c>
      <c r="O7" s="7">
        <v>0.737</v>
      </c>
      <c r="P7" s="7">
        <v>0.853</v>
      </c>
      <c r="Q7" s="7">
        <v>0.716</v>
      </c>
      <c r="R7" s="7">
        <v>0.648</v>
      </c>
      <c r="S7" s="7">
        <v>0.787</v>
      </c>
      <c r="T7" s="7">
        <v>0.745</v>
      </c>
      <c r="U7" s="7">
        <v>0.653</v>
      </c>
      <c r="V7" s="7">
        <v>0.827</v>
      </c>
      <c r="W7" s="7">
        <v>0.768</v>
      </c>
      <c r="X7" s="7">
        <v>0.688</v>
      </c>
      <c r="Y7" s="7">
        <v>0.84</v>
      </c>
      <c r="Z7" s="7">
        <v>0.73</v>
      </c>
      <c r="AA7" s="7">
        <v>0.667</v>
      </c>
      <c r="AB7" s="7">
        <v>0.792</v>
      </c>
      <c r="AC7" s="7">
        <v>0.739</v>
      </c>
      <c r="AD7" s="7">
        <v>0.661</v>
      </c>
      <c r="AE7" s="7">
        <v>0.811</v>
      </c>
      <c r="AF7" s="7">
        <v>0.511</v>
      </c>
      <c r="AG7" s="7">
        <v>0.396</v>
      </c>
      <c r="AH7" s="7">
        <v>0.623</v>
      </c>
      <c r="AI7" s="7">
        <v>0.813</v>
      </c>
      <c r="AJ7" s="7">
        <v>0.754</v>
      </c>
      <c r="AK7" s="7">
        <v>0.867</v>
      </c>
      <c r="AL7" s="7">
        <v>0.776</v>
      </c>
      <c r="AM7" s="7">
        <v>0.702</v>
      </c>
      <c r="AN7" s="7">
        <v>0.848</v>
      </c>
      <c r="AO7" s="7">
        <v>727.795</v>
      </c>
      <c r="AP7" s="7">
        <v>78.0</v>
      </c>
      <c r="AQ7" s="9">
        <v>5561665.0</v>
      </c>
    </row>
    <row r="8">
      <c r="B8" s="6" t="s">
        <v>53</v>
      </c>
      <c r="C8" s="6" t="s">
        <v>45</v>
      </c>
      <c r="D8" s="7">
        <v>0.569</v>
      </c>
      <c r="E8" s="7">
        <v>75.8</v>
      </c>
      <c r="F8" s="7">
        <v>70.0</v>
      </c>
      <c r="G8" s="7">
        <v>81.2</v>
      </c>
      <c r="H8" s="7">
        <v>0.245</v>
      </c>
      <c r="I8" s="7">
        <v>0.163</v>
      </c>
      <c r="J8" s="7">
        <v>0.337</v>
      </c>
      <c r="K8" s="7">
        <v>0.24</v>
      </c>
      <c r="L8" s="7">
        <v>0.168</v>
      </c>
      <c r="M8" s="7">
        <v>0.32</v>
      </c>
      <c r="N8" s="7">
        <v>0.798</v>
      </c>
      <c r="O8" s="7">
        <v>0.741</v>
      </c>
      <c r="P8" s="7">
        <v>0.857</v>
      </c>
      <c r="Q8" s="7">
        <v>0.712</v>
      </c>
      <c r="R8" s="7">
        <v>0.644</v>
      </c>
      <c r="S8" s="7">
        <v>0.78</v>
      </c>
      <c r="T8" s="7">
        <v>0.755</v>
      </c>
      <c r="U8" s="7">
        <v>0.663</v>
      </c>
      <c r="V8" s="7">
        <v>0.837</v>
      </c>
      <c r="W8" s="7">
        <v>0.76</v>
      </c>
      <c r="X8" s="7">
        <v>0.68</v>
      </c>
      <c r="Y8" s="7">
        <v>0.832</v>
      </c>
      <c r="Z8" s="7">
        <v>0.733</v>
      </c>
      <c r="AA8" s="7">
        <v>0.667</v>
      </c>
      <c r="AB8" s="7">
        <v>0.792</v>
      </c>
      <c r="AC8" s="7">
        <v>0.746</v>
      </c>
      <c r="AD8" s="7">
        <v>0.67</v>
      </c>
      <c r="AE8" s="7">
        <v>0.815</v>
      </c>
      <c r="AF8" s="7">
        <v>0.512</v>
      </c>
      <c r="AG8" s="7">
        <v>0.396</v>
      </c>
      <c r="AH8" s="7">
        <v>0.623</v>
      </c>
      <c r="AI8" s="7">
        <v>0.831</v>
      </c>
      <c r="AJ8" s="7">
        <v>0.773</v>
      </c>
      <c r="AK8" s="7">
        <v>0.881</v>
      </c>
      <c r="AL8" s="7">
        <v>0.799</v>
      </c>
      <c r="AM8" s="7">
        <v>0.731</v>
      </c>
      <c r="AN8" s="7">
        <v>0.863</v>
      </c>
      <c r="AO8" s="7">
        <v>13560.511</v>
      </c>
      <c r="AP8" s="7">
        <v>69.0</v>
      </c>
      <c r="AQ8" s="8">
        <v>8.5799425E7</v>
      </c>
    </row>
    <row r="9">
      <c r="B9" s="6" t="s">
        <v>54</v>
      </c>
      <c r="C9" s="6" t="s">
        <v>49</v>
      </c>
      <c r="D9" s="7">
        <v>0.669</v>
      </c>
      <c r="E9" s="7">
        <v>69.1</v>
      </c>
      <c r="F9" s="7">
        <v>62.8</v>
      </c>
      <c r="G9" s="7">
        <v>74.9</v>
      </c>
      <c r="H9" s="7">
        <v>0.306</v>
      </c>
      <c r="I9" s="7">
        <v>0.214</v>
      </c>
      <c r="J9" s="7">
        <v>0.398</v>
      </c>
      <c r="K9" s="7">
        <v>0.312</v>
      </c>
      <c r="L9" s="7">
        <v>0.232</v>
      </c>
      <c r="M9" s="7">
        <v>0.392</v>
      </c>
      <c r="N9" s="7">
        <v>0.741</v>
      </c>
      <c r="O9" s="7">
        <v>0.681</v>
      </c>
      <c r="P9" s="7">
        <v>0.805</v>
      </c>
      <c r="Q9" s="7">
        <v>0.636</v>
      </c>
      <c r="R9" s="7">
        <v>0.569</v>
      </c>
      <c r="S9" s="7">
        <v>0.705</v>
      </c>
      <c r="T9" s="7">
        <v>0.694</v>
      </c>
      <c r="U9" s="7">
        <v>0.602</v>
      </c>
      <c r="V9" s="7">
        <v>0.786</v>
      </c>
      <c r="W9" s="7">
        <v>0.688</v>
      </c>
      <c r="X9" s="7">
        <v>0.608</v>
      </c>
      <c r="Y9" s="7">
        <v>0.768</v>
      </c>
      <c r="Z9" s="7">
        <v>0.663</v>
      </c>
      <c r="AA9" s="7">
        <v>0.595</v>
      </c>
      <c r="AB9" s="7">
        <v>0.729</v>
      </c>
      <c r="AC9" s="7">
        <v>0.681</v>
      </c>
      <c r="AD9" s="7">
        <v>0.601</v>
      </c>
      <c r="AE9" s="7">
        <v>0.758</v>
      </c>
      <c r="AF9" s="7">
        <v>0.379</v>
      </c>
      <c r="AG9" s="7">
        <v>0.255</v>
      </c>
      <c r="AH9" s="7">
        <v>0.5</v>
      </c>
      <c r="AI9" s="7">
        <v>0.75</v>
      </c>
      <c r="AJ9" s="7">
        <v>0.682</v>
      </c>
      <c r="AK9" s="7">
        <v>0.813</v>
      </c>
      <c r="AL9" s="7">
        <v>0.714</v>
      </c>
      <c r="AM9" s="7">
        <v>0.636</v>
      </c>
      <c r="AN9" s="7">
        <v>0.844</v>
      </c>
      <c r="AO9" s="7">
        <v>7251.576</v>
      </c>
      <c r="AP9" s="7">
        <v>100.0</v>
      </c>
      <c r="AQ9" s="8">
        <v>8.6390017E7</v>
      </c>
    </row>
    <row r="10">
      <c r="B10" s="6" t="s">
        <v>55</v>
      </c>
      <c r="C10" s="6" t="s">
        <v>45</v>
      </c>
      <c r="D10" s="7">
        <v>0.537</v>
      </c>
      <c r="E10" s="7">
        <v>77.10000000000001</v>
      </c>
      <c r="F10" s="7">
        <v>71.3</v>
      </c>
      <c r="G10" s="7">
        <v>82.5</v>
      </c>
      <c r="H10" s="7">
        <v>0.245</v>
      </c>
      <c r="I10" s="7">
        <v>0.163</v>
      </c>
      <c r="J10" s="7">
        <v>0.337</v>
      </c>
      <c r="K10" s="7">
        <v>0.216</v>
      </c>
      <c r="L10" s="7">
        <v>0.144</v>
      </c>
      <c r="M10" s="7">
        <v>0.288</v>
      </c>
      <c r="N10" s="7">
        <v>0.803</v>
      </c>
      <c r="O10" s="7">
        <v>0.746</v>
      </c>
      <c r="P10" s="7">
        <v>0.861</v>
      </c>
      <c r="Q10" s="7">
        <v>0.733</v>
      </c>
      <c r="R10" s="7">
        <v>0.664</v>
      </c>
      <c r="S10" s="7">
        <v>0.804</v>
      </c>
      <c r="T10" s="7">
        <v>0.755</v>
      </c>
      <c r="U10" s="7">
        <v>0.663</v>
      </c>
      <c r="V10" s="7">
        <v>0.837</v>
      </c>
      <c r="W10" s="7">
        <v>0.784</v>
      </c>
      <c r="X10" s="7">
        <v>0.712</v>
      </c>
      <c r="Y10" s="7">
        <v>0.856</v>
      </c>
      <c r="Z10" s="7">
        <v>0.744</v>
      </c>
      <c r="AA10" s="7">
        <v>0.677</v>
      </c>
      <c r="AB10" s="7">
        <v>0.804</v>
      </c>
      <c r="AC10" s="7">
        <v>0.751</v>
      </c>
      <c r="AD10" s="7">
        <v>0.673</v>
      </c>
      <c r="AE10" s="7">
        <v>0.82</v>
      </c>
      <c r="AF10" s="7">
        <v>0.538</v>
      </c>
      <c r="AG10" s="7">
        <v>0.422</v>
      </c>
      <c r="AH10" s="7">
        <v>0.646</v>
      </c>
      <c r="AI10" s="7">
        <v>0.845</v>
      </c>
      <c r="AJ10" s="7">
        <v>0.791</v>
      </c>
      <c r="AK10" s="7">
        <v>0.894</v>
      </c>
      <c r="AL10" s="7">
        <v>0.82</v>
      </c>
      <c r="AM10" s="7">
        <v>0.755</v>
      </c>
      <c r="AN10" s="7">
        <v>0.881</v>
      </c>
      <c r="AO10" s="7">
        <v>47917.619</v>
      </c>
      <c r="AP10" s="7">
        <v>77.0</v>
      </c>
      <c r="AQ10" s="8">
        <v>3.03302657E8</v>
      </c>
    </row>
    <row r="11">
      <c r="B11" s="6" t="s">
        <v>56</v>
      </c>
      <c r="C11" s="6" t="s">
        <v>49</v>
      </c>
      <c r="D11" s="7">
        <v>0.599</v>
      </c>
      <c r="E11" s="7">
        <v>74.0</v>
      </c>
      <c r="F11" s="7">
        <v>68.2</v>
      </c>
      <c r="G11" s="7">
        <v>79.80000000000001</v>
      </c>
      <c r="H11" s="7">
        <v>0.224</v>
      </c>
      <c r="I11" s="7">
        <v>0.143</v>
      </c>
      <c r="J11" s="7">
        <v>0.306</v>
      </c>
      <c r="K11" s="7">
        <v>0.288</v>
      </c>
      <c r="L11" s="7">
        <v>0.208</v>
      </c>
      <c r="M11" s="7">
        <v>0.368</v>
      </c>
      <c r="N11" s="7">
        <v>0.802</v>
      </c>
      <c r="O11" s="7">
        <v>0.742</v>
      </c>
      <c r="P11" s="7">
        <v>0.864</v>
      </c>
      <c r="Q11" s="7">
        <v>0.679</v>
      </c>
      <c r="R11" s="7">
        <v>0.617</v>
      </c>
      <c r="S11" s="7">
        <v>0.745</v>
      </c>
      <c r="T11" s="7">
        <v>0.776</v>
      </c>
      <c r="U11" s="7">
        <v>0.694</v>
      </c>
      <c r="V11" s="7">
        <v>0.857</v>
      </c>
      <c r="W11" s="7">
        <v>0.712</v>
      </c>
      <c r="X11" s="7">
        <v>0.632</v>
      </c>
      <c r="Y11" s="7">
        <v>0.792</v>
      </c>
      <c r="Z11" s="7">
        <v>0.724</v>
      </c>
      <c r="AA11" s="7">
        <v>0.663</v>
      </c>
      <c r="AB11" s="7">
        <v>0.783</v>
      </c>
      <c r="AC11" s="7">
        <v>0.754</v>
      </c>
      <c r="AD11" s="7">
        <v>0.681</v>
      </c>
      <c r="AE11" s="7">
        <v>0.82</v>
      </c>
      <c r="AF11" s="7">
        <v>0.484</v>
      </c>
      <c r="AG11" s="7">
        <v>0.369</v>
      </c>
      <c r="AH11" s="7">
        <v>0.597</v>
      </c>
      <c r="AI11" s="7">
        <v>0.812</v>
      </c>
      <c r="AJ11" s="7">
        <v>0.751</v>
      </c>
      <c r="AK11" s="7">
        <v>0.868</v>
      </c>
      <c r="AL11" s="7">
        <v>0.81</v>
      </c>
      <c r="AM11" s="7">
        <v>0.748</v>
      </c>
      <c r="AN11" s="7">
        <v>0.868</v>
      </c>
      <c r="AO11" s="7">
        <v>44079.074</v>
      </c>
      <c r="AP11" s="7">
        <v>81.0</v>
      </c>
      <c r="AQ11" s="8">
        <v>3.04352257E8</v>
      </c>
    </row>
    <row r="14">
      <c r="A14" s="10" t="s">
        <v>57</v>
      </c>
      <c r="K14" s="10" t="s">
        <v>58</v>
      </c>
    </row>
    <row r="1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63</v>
      </c>
      <c r="F15" s="1" t="s">
        <v>64</v>
      </c>
      <c r="G15" s="1" t="s">
        <v>65</v>
      </c>
      <c r="H15" s="1" t="s">
        <v>66</v>
      </c>
      <c r="K15" s="1" t="s">
        <v>59</v>
      </c>
      <c r="L15" s="1" t="s">
        <v>60</v>
      </c>
      <c r="M15" s="1" t="s">
        <v>67</v>
      </c>
      <c r="N15" s="1" t="s">
        <v>68</v>
      </c>
      <c r="O15" s="1" t="s">
        <v>69</v>
      </c>
      <c r="P15" s="1" t="s">
        <v>70</v>
      </c>
      <c r="Q15" s="1" t="s">
        <v>71</v>
      </c>
      <c r="R15" s="1" t="s">
        <v>72</v>
      </c>
      <c r="S15" s="1" t="s">
        <v>73</v>
      </c>
    </row>
    <row r="16">
      <c r="A16" s="5" t="s">
        <v>43</v>
      </c>
      <c r="B16" s="11" t="str">
        <f t="shared" ref="B16:B25" si="1">B2</f>
        <v>VGG16-1K</v>
      </c>
      <c r="C16" s="12">
        <f t="shared" ref="C16:C25" si="2">H2</f>
        <v>0.184</v>
      </c>
      <c r="D16" s="12">
        <f t="shared" ref="D16:D25" si="3">T2</f>
        <v>0.816</v>
      </c>
      <c r="E16" s="12">
        <f t="shared" ref="E16:E25" si="4">N2</f>
        <v>0.818</v>
      </c>
      <c r="F16" s="11">
        <f t="shared" ref="F16:F25" si="5">AC2</f>
        <v>0.775</v>
      </c>
      <c r="G16" s="11">
        <f t="shared" ref="G16:G25" si="6">AF2</f>
        <v>0.464</v>
      </c>
      <c r="H16" s="11">
        <f t="shared" ref="H16:H25" si="7">AP2</f>
        <v>3</v>
      </c>
      <c r="K16" s="5" t="s">
        <v>43</v>
      </c>
      <c r="L16" s="11" t="str">
        <f t="shared" ref="L16:L25" si="8">B2</f>
        <v>VGG16-1K</v>
      </c>
      <c r="M16" s="12">
        <f t="shared" ref="M16:M25" si="9">K2</f>
        <v>0.352</v>
      </c>
      <c r="N16" s="12">
        <f t="shared" ref="N16:N25" si="10">W2</f>
        <v>0.648</v>
      </c>
      <c r="O16" s="12">
        <f t="shared" ref="O16:O25" si="11">Q2</f>
        <v>0.645</v>
      </c>
      <c r="P16" s="11">
        <f t="shared" ref="P16:P25" si="12">Z2</f>
        <v>0.721</v>
      </c>
      <c r="Q16" s="11">
        <f t="shared" ref="Q16:Q25" si="13">AI2</f>
        <v>0.852</v>
      </c>
      <c r="R16" s="11">
        <f t="shared" ref="R16:R25" si="14">AL2</f>
        <v>0.831</v>
      </c>
      <c r="S16" s="11" t="str">
        <f t="shared" ref="S16:S25" si="15">E2 &amp; "%"</f>
        <v>72.2%</v>
      </c>
    </row>
    <row r="17">
      <c r="B17" s="13" t="str">
        <f t="shared" si="1"/>
        <v>InceptionV3-1K</v>
      </c>
      <c r="C17" s="14">
        <f t="shared" si="2"/>
        <v>0.235</v>
      </c>
      <c r="D17" s="14">
        <f t="shared" si="3"/>
        <v>0.765</v>
      </c>
      <c r="E17" s="14">
        <f t="shared" si="4"/>
        <v>0.802</v>
      </c>
      <c r="F17" s="13">
        <f t="shared" si="5"/>
        <v>0.752</v>
      </c>
      <c r="G17" s="13">
        <f t="shared" si="6"/>
        <v>0.506</v>
      </c>
      <c r="H17" s="13">
        <f t="shared" si="7"/>
        <v>44</v>
      </c>
      <c r="L17" s="13" t="str">
        <f t="shared" si="8"/>
        <v>InceptionV3-1K</v>
      </c>
      <c r="M17" s="14">
        <f t="shared" si="9"/>
        <v>0.256</v>
      </c>
      <c r="N17" s="14">
        <f t="shared" si="10"/>
        <v>0.744</v>
      </c>
      <c r="O17" s="14">
        <f t="shared" si="11"/>
        <v>0.701</v>
      </c>
      <c r="P17" s="13">
        <f t="shared" si="12"/>
        <v>0.732</v>
      </c>
      <c r="Q17" s="13">
        <f t="shared" si="13"/>
        <v>0.812</v>
      </c>
      <c r="R17" s="13">
        <f t="shared" si="14"/>
        <v>0.788</v>
      </c>
      <c r="S17" s="13" t="str">
        <f t="shared" si="15"/>
        <v>75.3%</v>
      </c>
      <c r="U17" s="13">
        <v>73.9</v>
      </c>
    </row>
    <row r="18">
      <c r="B18" s="13" t="str">
        <f t="shared" si="1"/>
        <v>ResNet50-1K</v>
      </c>
      <c r="C18" s="14">
        <f t="shared" si="2"/>
        <v>0.337</v>
      </c>
      <c r="D18" s="14">
        <f t="shared" si="3"/>
        <v>0.663</v>
      </c>
      <c r="E18" s="14">
        <f t="shared" si="4"/>
        <v>0.746</v>
      </c>
      <c r="F18" s="13">
        <f t="shared" si="5"/>
        <v>0.67</v>
      </c>
      <c r="G18" s="13">
        <f t="shared" si="6"/>
        <v>0.442</v>
      </c>
      <c r="H18" s="13">
        <f t="shared" si="7"/>
        <v>45</v>
      </c>
      <c r="L18" s="13" t="str">
        <f t="shared" si="8"/>
        <v>ResNet50-1K</v>
      </c>
      <c r="M18" s="14">
        <f t="shared" si="9"/>
        <v>0.224</v>
      </c>
      <c r="N18" s="14">
        <f t="shared" si="10"/>
        <v>0.776</v>
      </c>
      <c r="O18" s="14">
        <f t="shared" si="11"/>
        <v>0.699</v>
      </c>
      <c r="P18" s="13">
        <f t="shared" si="12"/>
        <v>0.681</v>
      </c>
      <c r="Q18" s="13">
        <f t="shared" si="13"/>
        <v>0.8</v>
      </c>
      <c r="R18" s="13">
        <f t="shared" si="14"/>
        <v>0.778</v>
      </c>
      <c r="S18" s="13" t="str">
        <f t="shared" si="15"/>
        <v>72.6%</v>
      </c>
    </row>
    <row r="19">
      <c r="B19" s="13" t="str">
        <f t="shared" si="1"/>
        <v>ResNet50-21K</v>
      </c>
      <c r="C19" s="14">
        <f t="shared" si="2"/>
        <v>0.235</v>
      </c>
      <c r="D19" s="14">
        <f t="shared" si="3"/>
        <v>0.765</v>
      </c>
      <c r="E19" s="14">
        <f t="shared" si="4"/>
        <v>0.798</v>
      </c>
      <c r="F19" s="13">
        <f t="shared" si="5"/>
        <v>0.749</v>
      </c>
      <c r="G19" s="13">
        <f t="shared" si="6"/>
        <v>0.49</v>
      </c>
      <c r="H19" s="13">
        <f t="shared" si="7"/>
        <v>42</v>
      </c>
      <c r="L19" s="13" t="str">
        <f t="shared" si="8"/>
        <v>ResNet50-21K</v>
      </c>
      <c r="M19" s="14">
        <f t="shared" si="9"/>
        <v>0.272</v>
      </c>
      <c r="N19" s="14">
        <f t="shared" si="10"/>
        <v>0.728</v>
      </c>
      <c r="O19" s="14">
        <f t="shared" si="11"/>
        <v>0.688</v>
      </c>
      <c r="P19" s="13">
        <f t="shared" si="12"/>
        <v>0.725</v>
      </c>
      <c r="Q19" s="13">
        <f t="shared" si="13"/>
        <v>0.833</v>
      </c>
      <c r="R19" s="13">
        <f t="shared" si="14"/>
        <v>0.824</v>
      </c>
      <c r="S19" s="13" t="str">
        <f t="shared" si="15"/>
        <v>74.4%</v>
      </c>
    </row>
    <row r="20">
      <c r="B20" s="11" t="str">
        <f t="shared" si="1"/>
        <v>MobileNetV3-Large-21K</v>
      </c>
      <c r="C20" s="12">
        <f t="shared" si="2"/>
        <v>0.224</v>
      </c>
      <c r="D20" s="12">
        <f t="shared" si="3"/>
        <v>0.776</v>
      </c>
      <c r="E20" s="12">
        <f t="shared" si="4"/>
        <v>0.798</v>
      </c>
      <c r="F20" s="11">
        <f t="shared" si="5"/>
        <v>0.751</v>
      </c>
      <c r="G20" s="11">
        <f t="shared" si="6"/>
        <v>0.468</v>
      </c>
      <c r="H20" s="11">
        <f t="shared" si="7"/>
        <v>45</v>
      </c>
      <c r="L20" s="11" t="str">
        <f t="shared" si="8"/>
        <v>MobileNetV3-Large-21K</v>
      </c>
      <c r="M20" s="12">
        <f t="shared" si="9"/>
        <v>0.304</v>
      </c>
      <c r="N20" s="12">
        <f t="shared" si="10"/>
        <v>0.696</v>
      </c>
      <c r="O20" s="12">
        <f t="shared" si="11"/>
        <v>0.667</v>
      </c>
      <c r="P20" s="11">
        <f t="shared" si="12"/>
        <v>0.717</v>
      </c>
      <c r="Q20" s="11">
        <f t="shared" si="13"/>
        <v>0.803</v>
      </c>
      <c r="R20" s="11">
        <f t="shared" si="14"/>
        <v>0.79</v>
      </c>
      <c r="S20" s="11" t="str">
        <f t="shared" si="15"/>
        <v>73.1%</v>
      </c>
    </row>
    <row r="21">
      <c r="A21" s="5" t="s">
        <v>51</v>
      </c>
      <c r="B21" s="13" t="str">
        <f t="shared" si="1"/>
        <v>ViT-T-16-21K</v>
      </c>
      <c r="C21" s="14">
        <f t="shared" si="2"/>
        <v>0.255</v>
      </c>
      <c r="D21" s="14">
        <f t="shared" si="3"/>
        <v>0.745</v>
      </c>
      <c r="E21" s="14">
        <f t="shared" si="4"/>
        <v>0.793</v>
      </c>
      <c r="F21" s="13">
        <f t="shared" si="5"/>
        <v>0.739</v>
      </c>
      <c r="G21" s="13">
        <f t="shared" si="6"/>
        <v>0.511</v>
      </c>
      <c r="H21" s="13">
        <f t="shared" si="7"/>
        <v>78</v>
      </c>
      <c r="K21" s="5" t="s">
        <v>51</v>
      </c>
      <c r="L21" s="13" t="str">
        <f t="shared" si="8"/>
        <v>ViT-T-16-21K</v>
      </c>
      <c r="M21" s="14">
        <f t="shared" si="9"/>
        <v>0.232</v>
      </c>
      <c r="N21" s="14">
        <f t="shared" si="10"/>
        <v>0.768</v>
      </c>
      <c r="O21" s="14">
        <f t="shared" si="11"/>
        <v>0.716</v>
      </c>
      <c r="P21" s="13">
        <f t="shared" si="12"/>
        <v>0.73</v>
      </c>
      <c r="Q21" s="13">
        <f t="shared" si="13"/>
        <v>0.813</v>
      </c>
      <c r="R21" s="13">
        <f t="shared" si="14"/>
        <v>0.776</v>
      </c>
      <c r="S21" s="13" t="str">
        <f t="shared" si="15"/>
        <v>75.8%</v>
      </c>
    </row>
    <row r="22">
      <c r="B22" s="13" t="str">
        <f t="shared" si="1"/>
        <v>ViT-B-16-1K</v>
      </c>
      <c r="C22" s="14">
        <f t="shared" si="2"/>
        <v>0.245</v>
      </c>
      <c r="D22" s="14">
        <f t="shared" si="3"/>
        <v>0.755</v>
      </c>
      <c r="E22" s="14">
        <f t="shared" si="4"/>
        <v>0.798</v>
      </c>
      <c r="F22" s="13">
        <f t="shared" si="5"/>
        <v>0.746</v>
      </c>
      <c r="G22" s="13">
        <f t="shared" si="6"/>
        <v>0.512</v>
      </c>
      <c r="H22" s="13">
        <f t="shared" si="7"/>
        <v>69</v>
      </c>
      <c r="L22" s="13" t="str">
        <f t="shared" si="8"/>
        <v>ViT-B-16-1K</v>
      </c>
      <c r="M22" s="14">
        <f t="shared" si="9"/>
        <v>0.24</v>
      </c>
      <c r="N22" s="14">
        <f t="shared" si="10"/>
        <v>0.76</v>
      </c>
      <c r="O22" s="14">
        <f t="shared" si="11"/>
        <v>0.712</v>
      </c>
      <c r="P22" s="13">
        <f t="shared" si="12"/>
        <v>0.733</v>
      </c>
      <c r="Q22" s="13">
        <f t="shared" si="13"/>
        <v>0.831</v>
      </c>
      <c r="R22" s="13">
        <f t="shared" si="14"/>
        <v>0.799</v>
      </c>
      <c r="S22" s="13" t="str">
        <f t="shared" si="15"/>
        <v>75.8%</v>
      </c>
    </row>
    <row r="23">
      <c r="B23" s="13" t="str">
        <f t="shared" si="1"/>
        <v>ViT-B-16-21K</v>
      </c>
      <c r="C23" s="14">
        <f t="shared" si="2"/>
        <v>0.306</v>
      </c>
      <c r="D23" s="14">
        <f t="shared" si="3"/>
        <v>0.694</v>
      </c>
      <c r="E23" s="14">
        <f t="shared" si="4"/>
        <v>0.741</v>
      </c>
      <c r="F23" s="13">
        <f t="shared" si="5"/>
        <v>0.681</v>
      </c>
      <c r="G23" s="13">
        <f t="shared" si="6"/>
        <v>0.379</v>
      </c>
      <c r="H23" s="13">
        <f t="shared" si="7"/>
        <v>100</v>
      </c>
      <c r="L23" s="13" t="str">
        <f t="shared" si="8"/>
        <v>ViT-B-16-21K</v>
      </c>
      <c r="M23" s="14">
        <f t="shared" si="9"/>
        <v>0.312</v>
      </c>
      <c r="N23" s="14">
        <f t="shared" si="10"/>
        <v>0.688</v>
      </c>
      <c r="O23" s="14">
        <f t="shared" si="11"/>
        <v>0.636</v>
      </c>
      <c r="P23" s="13">
        <f t="shared" si="12"/>
        <v>0.663</v>
      </c>
      <c r="Q23" s="13">
        <f t="shared" si="13"/>
        <v>0.75</v>
      </c>
      <c r="R23" s="13">
        <f t="shared" si="14"/>
        <v>0.714</v>
      </c>
      <c r="S23" s="13" t="str">
        <f t="shared" si="15"/>
        <v>69.1%</v>
      </c>
    </row>
    <row r="24">
      <c r="B24" s="11" t="str">
        <f t="shared" si="1"/>
        <v>ViT-L-16-1K</v>
      </c>
      <c r="C24" s="12">
        <f t="shared" si="2"/>
        <v>0.245</v>
      </c>
      <c r="D24" s="12">
        <f t="shared" si="3"/>
        <v>0.755</v>
      </c>
      <c r="E24" s="12">
        <f t="shared" si="4"/>
        <v>0.803</v>
      </c>
      <c r="F24" s="11">
        <f t="shared" si="5"/>
        <v>0.751</v>
      </c>
      <c r="G24" s="11">
        <f t="shared" si="6"/>
        <v>0.538</v>
      </c>
      <c r="H24" s="11">
        <f t="shared" si="7"/>
        <v>77</v>
      </c>
      <c r="L24" s="11" t="str">
        <f t="shared" si="8"/>
        <v>ViT-L-16-1K</v>
      </c>
      <c r="M24" s="12">
        <f t="shared" si="9"/>
        <v>0.216</v>
      </c>
      <c r="N24" s="12">
        <f t="shared" si="10"/>
        <v>0.784</v>
      </c>
      <c r="O24" s="12">
        <f t="shared" si="11"/>
        <v>0.733</v>
      </c>
      <c r="P24" s="11">
        <f t="shared" si="12"/>
        <v>0.744</v>
      </c>
      <c r="Q24" s="11">
        <f t="shared" si="13"/>
        <v>0.845</v>
      </c>
      <c r="R24" s="11">
        <f t="shared" si="14"/>
        <v>0.82</v>
      </c>
      <c r="S24" s="11" t="str">
        <f t="shared" si="15"/>
        <v>77.1%</v>
      </c>
    </row>
    <row r="25">
      <c r="B25" s="11" t="str">
        <f t="shared" si="1"/>
        <v>ViT-L-16-21K</v>
      </c>
      <c r="C25" s="12">
        <f t="shared" si="2"/>
        <v>0.224</v>
      </c>
      <c r="D25" s="12">
        <f t="shared" si="3"/>
        <v>0.776</v>
      </c>
      <c r="E25" s="12">
        <f t="shared" si="4"/>
        <v>0.802</v>
      </c>
      <c r="F25" s="11">
        <f t="shared" si="5"/>
        <v>0.754</v>
      </c>
      <c r="G25" s="11">
        <f t="shared" si="6"/>
        <v>0.484</v>
      </c>
      <c r="H25" s="11">
        <f t="shared" si="7"/>
        <v>81</v>
      </c>
      <c r="L25" s="11" t="str">
        <f t="shared" si="8"/>
        <v>ViT-L-16-21K</v>
      </c>
      <c r="M25" s="12">
        <f t="shared" si="9"/>
        <v>0.288</v>
      </c>
      <c r="N25" s="12">
        <f t="shared" si="10"/>
        <v>0.712</v>
      </c>
      <c r="O25" s="12">
        <f t="shared" si="11"/>
        <v>0.679</v>
      </c>
      <c r="P25" s="11">
        <f t="shared" si="12"/>
        <v>0.724</v>
      </c>
      <c r="Q25" s="11">
        <f t="shared" si="13"/>
        <v>0.812</v>
      </c>
      <c r="R25" s="11">
        <f t="shared" si="14"/>
        <v>0.81</v>
      </c>
      <c r="S25" s="11" t="str">
        <f t="shared" si="15"/>
        <v>74%</v>
      </c>
    </row>
    <row r="26">
      <c r="B26" s="15" t="s">
        <v>74</v>
      </c>
      <c r="C26" s="14">
        <f t="shared" ref="C26:G26" si="16">ROUND(AVERAGE(C16:C25), 3)</f>
        <v>0.249</v>
      </c>
      <c r="D26" s="14">
        <f t="shared" si="16"/>
        <v>0.751</v>
      </c>
      <c r="E26" s="14">
        <f t="shared" si="16"/>
        <v>0.79</v>
      </c>
      <c r="F26" s="13">
        <f t="shared" si="16"/>
        <v>0.737</v>
      </c>
      <c r="G26" s="13">
        <f t="shared" si="16"/>
        <v>0.479</v>
      </c>
      <c r="H26" s="13">
        <f>FLOOR(ROUND(AVERAGE(H16:H25), 3),1)</f>
        <v>58</v>
      </c>
      <c r="L26" s="15" t="s">
        <v>74</v>
      </c>
      <c r="M26" s="14">
        <f t="shared" ref="M26:R26" si="17">ROUND(AVERAGE(M16:M25), 3)</f>
        <v>0.27</v>
      </c>
      <c r="N26" s="14">
        <f t="shared" si="17"/>
        <v>0.73</v>
      </c>
      <c r="O26" s="14">
        <f t="shared" si="17"/>
        <v>0.688</v>
      </c>
      <c r="P26" s="13">
        <f t="shared" si="17"/>
        <v>0.717</v>
      </c>
      <c r="Q26" s="13">
        <f t="shared" si="17"/>
        <v>0.815</v>
      </c>
      <c r="R26" s="13">
        <f t="shared" si="17"/>
        <v>0.793</v>
      </c>
      <c r="S26" s="13" t="str">
        <f> U17 &amp; "%"</f>
        <v>73.9%</v>
      </c>
    </row>
    <row r="28">
      <c r="A28" s="10" t="s">
        <v>75</v>
      </c>
      <c r="K28" s="10" t="s">
        <v>76</v>
      </c>
    </row>
    <row r="29">
      <c r="A29" s="1" t="s">
        <v>59</v>
      </c>
      <c r="B29" s="1" t="s">
        <v>61</v>
      </c>
      <c r="C29" s="1" t="s">
        <v>62</v>
      </c>
      <c r="D29" s="1" t="s">
        <v>63</v>
      </c>
      <c r="E29" s="1" t="s">
        <v>64</v>
      </c>
      <c r="F29" s="1" t="s">
        <v>65</v>
      </c>
      <c r="G29" s="1" t="s">
        <v>66</v>
      </c>
      <c r="K29" s="1" t="s">
        <v>59</v>
      </c>
      <c r="L29" s="1" t="s">
        <v>67</v>
      </c>
      <c r="M29" s="1" t="s">
        <v>68</v>
      </c>
      <c r="N29" s="1" t="s">
        <v>69</v>
      </c>
      <c r="O29" s="1" t="s">
        <v>70</v>
      </c>
      <c r="P29" s="1" t="s">
        <v>71</v>
      </c>
      <c r="Q29" s="1" t="s">
        <v>72</v>
      </c>
      <c r="R29" s="1" t="s">
        <v>73</v>
      </c>
    </row>
    <row r="30">
      <c r="A30" s="5" t="s">
        <v>43</v>
      </c>
      <c r="B30" s="14">
        <f t="shared" ref="B30:G30" si="18">AVERAGE(C16:C20)</f>
        <v>0.243</v>
      </c>
      <c r="C30" s="14">
        <f t="shared" si="18"/>
        <v>0.757</v>
      </c>
      <c r="D30" s="14">
        <f t="shared" si="18"/>
        <v>0.7924</v>
      </c>
      <c r="E30" s="13">
        <f t="shared" si="18"/>
        <v>0.7394</v>
      </c>
      <c r="F30" s="13">
        <f t="shared" si="18"/>
        <v>0.474</v>
      </c>
      <c r="G30" s="13">
        <f t="shared" si="18"/>
        <v>35.8</v>
      </c>
      <c r="K30" s="5" t="s">
        <v>43</v>
      </c>
      <c r="L30" s="14">
        <f t="shared" ref="L30:Q30" si="19">AVERAGE(M16:M20)</f>
        <v>0.2816</v>
      </c>
      <c r="M30" s="14">
        <f t="shared" si="19"/>
        <v>0.7184</v>
      </c>
      <c r="N30" s="14">
        <f t="shared" si="19"/>
        <v>0.68</v>
      </c>
      <c r="O30" s="13">
        <f t="shared" si="19"/>
        <v>0.7152</v>
      </c>
      <c r="P30" s="13">
        <f t="shared" si="19"/>
        <v>0.82</v>
      </c>
      <c r="Q30" s="13">
        <f t="shared" si="19"/>
        <v>0.8022</v>
      </c>
      <c r="R30" s="16">
        <v>0.7264</v>
      </c>
    </row>
    <row r="31">
      <c r="A31" s="5" t="s">
        <v>51</v>
      </c>
      <c r="B31" s="14">
        <f t="shared" ref="B31:G31" si="20">AVERAGE(C21:C25)</f>
        <v>0.255</v>
      </c>
      <c r="C31" s="14">
        <f t="shared" si="20"/>
        <v>0.745</v>
      </c>
      <c r="D31" s="14">
        <f t="shared" si="20"/>
        <v>0.7874</v>
      </c>
      <c r="E31" s="13">
        <f t="shared" si="20"/>
        <v>0.7342</v>
      </c>
      <c r="F31" s="13">
        <f t="shared" si="20"/>
        <v>0.4848</v>
      </c>
      <c r="G31" s="13">
        <f t="shared" si="20"/>
        <v>81</v>
      </c>
      <c r="K31" s="5" t="s">
        <v>51</v>
      </c>
      <c r="L31" s="14">
        <f t="shared" ref="L31:Q31" si="21">AVERAGE(M21:M25)</f>
        <v>0.2576</v>
      </c>
      <c r="M31" s="14">
        <f t="shared" si="21"/>
        <v>0.7424</v>
      </c>
      <c r="N31" s="14">
        <f t="shared" si="21"/>
        <v>0.6952</v>
      </c>
      <c r="O31" s="13">
        <f t="shared" si="21"/>
        <v>0.7188</v>
      </c>
      <c r="P31" s="13">
        <f t="shared" si="21"/>
        <v>0.8102</v>
      </c>
      <c r="Q31" s="13">
        <f t="shared" si="21"/>
        <v>0.7838</v>
      </c>
      <c r="R31" s="16">
        <v>0.745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9.5"/>
    <col customWidth="1" min="11" max="11" width="19.13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4" t="s">
        <v>42</v>
      </c>
    </row>
    <row r="2">
      <c r="A2" s="5" t="s">
        <v>43</v>
      </c>
      <c r="B2" s="6" t="s">
        <v>44</v>
      </c>
      <c r="C2" s="6" t="s">
        <v>45</v>
      </c>
      <c r="D2" s="7">
        <v>0.671</v>
      </c>
      <c r="E2" s="7">
        <v>74.4</v>
      </c>
      <c r="F2" s="7">
        <v>68.60000000000001</v>
      </c>
      <c r="G2" s="7">
        <v>80.30000000000001</v>
      </c>
      <c r="H2" s="7">
        <v>0.204</v>
      </c>
      <c r="I2" s="7">
        <v>0.122</v>
      </c>
      <c r="J2" s="7">
        <v>0.286</v>
      </c>
      <c r="K2" s="7">
        <v>0.296</v>
      </c>
      <c r="L2" s="7">
        <v>0.216</v>
      </c>
      <c r="M2" s="7">
        <v>0.376</v>
      </c>
      <c r="N2" s="7">
        <v>0.815</v>
      </c>
      <c r="O2" s="7">
        <v>0.752</v>
      </c>
      <c r="P2" s="7">
        <v>0.878</v>
      </c>
      <c r="Q2" s="7">
        <v>0.678</v>
      </c>
      <c r="R2" s="7">
        <v>0.617</v>
      </c>
      <c r="S2" s="7">
        <v>0.745</v>
      </c>
      <c r="T2" s="7">
        <v>0.796</v>
      </c>
      <c r="U2" s="7">
        <v>0.714</v>
      </c>
      <c r="V2" s="7">
        <v>0.878</v>
      </c>
      <c r="W2" s="7">
        <v>0.704</v>
      </c>
      <c r="X2" s="7">
        <v>0.624</v>
      </c>
      <c r="Y2" s="7">
        <v>0.784</v>
      </c>
      <c r="Z2" s="7">
        <v>0.732</v>
      </c>
      <c r="AA2" s="7">
        <v>0.673</v>
      </c>
      <c r="AB2" s="7">
        <v>0.79</v>
      </c>
      <c r="AC2" s="7">
        <v>0.769</v>
      </c>
      <c r="AD2" s="7">
        <v>0.697</v>
      </c>
      <c r="AE2" s="7">
        <v>0.833</v>
      </c>
      <c r="AF2" s="7">
        <v>0.496</v>
      </c>
      <c r="AG2" s="7">
        <v>0.383</v>
      </c>
      <c r="AH2" s="7">
        <v>0.608</v>
      </c>
      <c r="AI2" s="7">
        <v>0.838</v>
      </c>
      <c r="AJ2" s="7">
        <v>0.782</v>
      </c>
      <c r="AK2" s="7">
        <v>0.888</v>
      </c>
      <c r="AL2" s="7">
        <v>0.839</v>
      </c>
      <c r="AM2" s="7">
        <v>0.783</v>
      </c>
      <c r="AN2" s="7">
        <v>0.889</v>
      </c>
      <c r="AO2" s="7">
        <v>973.085</v>
      </c>
      <c r="AP2" s="7">
        <v>3.0</v>
      </c>
      <c r="AQ2" s="8">
        <v>1.34264641E8</v>
      </c>
    </row>
    <row r="3">
      <c r="B3" s="6" t="s">
        <v>46</v>
      </c>
      <c r="C3" s="6" t="s">
        <v>45</v>
      </c>
      <c r="D3" s="7">
        <v>0.637</v>
      </c>
      <c r="E3" s="7">
        <v>70.0</v>
      </c>
      <c r="F3" s="7">
        <v>63.7</v>
      </c>
      <c r="G3" s="7">
        <v>75.8</v>
      </c>
      <c r="H3" s="7">
        <v>0.296</v>
      </c>
      <c r="I3" s="7">
        <v>0.214</v>
      </c>
      <c r="J3" s="7">
        <v>0.388</v>
      </c>
      <c r="K3" s="7">
        <v>0.304</v>
      </c>
      <c r="L3" s="7">
        <v>0.224</v>
      </c>
      <c r="M3" s="7">
        <v>0.384</v>
      </c>
      <c r="N3" s="7">
        <v>0.75</v>
      </c>
      <c r="O3" s="7">
        <v>0.689</v>
      </c>
      <c r="P3" s="7">
        <v>0.811</v>
      </c>
      <c r="Q3" s="7">
        <v>0.645</v>
      </c>
      <c r="R3" s="7">
        <v>0.579</v>
      </c>
      <c r="S3" s="7">
        <v>0.716</v>
      </c>
      <c r="T3" s="7">
        <v>0.704</v>
      </c>
      <c r="U3" s="7">
        <v>0.612</v>
      </c>
      <c r="V3" s="7">
        <v>0.786</v>
      </c>
      <c r="W3" s="7">
        <v>0.696</v>
      </c>
      <c r="X3" s="7">
        <v>0.616</v>
      </c>
      <c r="Y3" s="7">
        <v>0.776</v>
      </c>
      <c r="Z3" s="7">
        <v>0.673</v>
      </c>
      <c r="AA3" s="7">
        <v>0.604</v>
      </c>
      <c r="AB3" s="7">
        <v>0.736</v>
      </c>
      <c r="AC3" s="7">
        <v>0.691</v>
      </c>
      <c r="AD3" s="7">
        <v>0.61</v>
      </c>
      <c r="AE3" s="7">
        <v>0.765</v>
      </c>
      <c r="AF3" s="7">
        <v>0.397</v>
      </c>
      <c r="AG3" s="7">
        <v>0.276</v>
      </c>
      <c r="AH3" s="7">
        <v>0.516</v>
      </c>
      <c r="AI3" s="7">
        <v>0.781</v>
      </c>
      <c r="AJ3" s="7">
        <v>0.718</v>
      </c>
      <c r="AK3" s="7">
        <v>0.839</v>
      </c>
      <c r="AL3" s="7">
        <v>0.738</v>
      </c>
      <c r="AM3" s="7">
        <v>0.661</v>
      </c>
      <c r="AN3" s="7">
        <v>0.816</v>
      </c>
      <c r="AO3" s="7">
        <v>2736.669</v>
      </c>
      <c r="AP3" s="7">
        <v>65.0</v>
      </c>
      <c r="AQ3" s="9">
        <v>2.5114313E7</v>
      </c>
    </row>
    <row r="4">
      <c r="B4" s="6" t="s">
        <v>47</v>
      </c>
      <c r="C4" s="6" t="s">
        <v>45</v>
      </c>
      <c r="D4" s="7">
        <v>0.634</v>
      </c>
      <c r="E4" s="7">
        <v>71.7</v>
      </c>
      <c r="F4" s="7">
        <v>65.9</v>
      </c>
      <c r="G4" s="7">
        <v>77.60000000000001</v>
      </c>
      <c r="H4" s="7">
        <v>0.286</v>
      </c>
      <c r="I4" s="7">
        <v>0.194</v>
      </c>
      <c r="J4" s="7">
        <v>0.378</v>
      </c>
      <c r="K4" s="7">
        <v>0.28</v>
      </c>
      <c r="L4" s="7">
        <v>0.2</v>
      </c>
      <c r="M4" s="7">
        <v>0.36</v>
      </c>
      <c r="N4" s="7">
        <v>0.763</v>
      </c>
      <c r="O4" s="7">
        <v>0.703</v>
      </c>
      <c r="P4" s="7">
        <v>0.825</v>
      </c>
      <c r="Q4" s="7">
        <v>0.667</v>
      </c>
      <c r="R4" s="7">
        <v>0.6</v>
      </c>
      <c r="S4" s="7">
        <v>0.737</v>
      </c>
      <c r="T4" s="7">
        <v>0.714</v>
      </c>
      <c r="U4" s="7">
        <v>0.622</v>
      </c>
      <c r="V4" s="7">
        <v>0.806</v>
      </c>
      <c r="W4" s="7">
        <v>0.72</v>
      </c>
      <c r="X4" s="7">
        <v>0.64</v>
      </c>
      <c r="Y4" s="7">
        <v>0.8</v>
      </c>
      <c r="Z4" s="7">
        <v>0.69</v>
      </c>
      <c r="AA4" s="7">
        <v>0.621</v>
      </c>
      <c r="AB4" s="7">
        <v>0.753</v>
      </c>
      <c r="AC4" s="7">
        <v>0.704</v>
      </c>
      <c r="AD4" s="7">
        <v>0.622</v>
      </c>
      <c r="AE4" s="7">
        <v>0.778</v>
      </c>
      <c r="AF4" s="7">
        <v>0.432</v>
      </c>
      <c r="AG4" s="7">
        <v>0.311</v>
      </c>
      <c r="AH4" s="7">
        <v>0.547</v>
      </c>
      <c r="AI4" s="7">
        <v>0.79</v>
      </c>
      <c r="AJ4" s="7">
        <v>0.725</v>
      </c>
      <c r="AK4" s="7">
        <v>0.846</v>
      </c>
      <c r="AL4" s="7">
        <v>0.773</v>
      </c>
      <c r="AM4" s="7">
        <v>0.705</v>
      </c>
      <c r="AN4" s="7">
        <v>0.836</v>
      </c>
      <c r="AO4" s="7">
        <v>1332.225</v>
      </c>
      <c r="AP4" s="7">
        <v>36.0</v>
      </c>
      <c r="AQ4" s="8">
        <v>2.3510081E7</v>
      </c>
    </row>
    <row r="5">
      <c r="B5" s="6" t="s">
        <v>48</v>
      </c>
      <c r="C5" s="6" t="s">
        <v>49</v>
      </c>
      <c r="D5" s="7">
        <v>0.569</v>
      </c>
      <c r="E5" s="7">
        <v>74.9</v>
      </c>
      <c r="F5" s="7">
        <v>69.1</v>
      </c>
      <c r="G5" s="7">
        <v>80.30000000000001</v>
      </c>
      <c r="H5" s="7">
        <v>0.194</v>
      </c>
      <c r="I5" s="7">
        <v>0.122</v>
      </c>
      <c r="J5" s="7">
        <v>0.276</v>
      </c>
      <c r="K5" s="7">
        <v>0.296</v>
      </c>
      <c r="L5" s="7">
        <v>0.216</v>
      </c>
      <c r="M5" s="7">
        <v>0.384</v>
      </c>
      <c r="N5" s="7">
        <v>0.822</v>
      </c>
      <c r="O5" s="7">
        <v>0.762</v>
      </c>
      <c r="P5" s="7">
        <v>0.885</v>
      </c>
      <c r="Q5" s="7">
        <v>0.681</v>
      </c>
      <c r="R5" s="7">
        <v>0.621</v>
      </c>
      <c r="S5" s="7">
        <v>0.748</v>
      </c>
      <c r="T5" s="7">
        <v>0.806</v>
      </c>
      <c r="U5" s="7">
        <v>0.724</v>
      </c>
      <c r="V5" s="7">
        <v>0.878</v>
      </c>
      <c r="W5" s="7">
        <v>0.704</v>
      </c>
      <c r="X5" s="7">
        <v>0.616</v>
      </c>
      <c r="Y5" s="7">
        <v>0.784</v>
      </c>
      <c r="Z5" s="7">
        <v>0.738</v>
      </c>
      <c r="AA5" s="7">
        <v>0.679</v>
      </c>
      <c r="AB5" s="7">
        <v>0.794</v>
      </c>
      <c r="AC5" s="7">
        <v>0.778</v>
      </c>
      <c r="AD5" s="7">
        <v>0.709</v>
      </c>
      <c r="AE5" s="7">
        <v>0.841</v>
      </c>
      <c r="AF5" s="7">
        <v>0.507</v>
      </c>
      <c r="AG5" s="7">
        <v>0.396</v>
      </c>
      <c r="AH5" s="7">
        <v>0.616</v>
      </c>
      <c r="AI5" s="7">
        <v>0.834</v>
      </c>
      <c r="AJ5" s="7">
        <v>0.777</v>
      </c>
      <c r="AK5" s="7">
        <v>0.885</v>
      </c>
      <c r="AL5" s="7">
        <v>0.811</v>
      </c>
      <c r="AM5" s="7">
        <v>0.745</v>
      </c>
      <c r="AN5" s="7">
        <v>0.873</v>
      </c>
      <c r="AO5" s="7">
        <v>964.859</v>
      </c>
      <c r="AP5" s="7">
        <v>25.0</v>
      </c>
      <c r="AQ5" s="9">
        <v>2.3502401E7</v>
      </c>
    </row>
    <row r="6">
      <c r="B6" s="6" t="s">
        <v>50</v>
      </c>
      <c r="C6" s="6" t="s">
        <v>49</v>
      </c>
      <c r="D6" s="7">
        <v>0.627</v>
      </c>
      <c r="E6" s="7">
        <v>72.2</v>
      </c>
      <c r="F6" s="7">
        <v>66.4</v>
      </c>
      <c r="G6" s="7">
        <v>78.0</v>
      </c>
      <c r="H6" s="7">
        <v>0.265</v>
      </c>
      <c r="I6" s="7">
        <v>0.184</v>
      </c>
      <c r="J6" s="7">
        <v>0.357</v>
      </c>
      <c r="K6" s="7">
        <v>0.288</v>
      </c>
      <c r="L6" s="7">
        <v>0.208</v>
      </c>
      <c r="M6" s="7">
        <v>0.368</v>
      </c>
      <c r="N6" s="7">
        <v>0.774</v>
      </c>
      <c r="O6" s="7">
        <v>0.714</v>
      </c>
      <c r="P6" s="7">
        <v>0.835</v>
      </c>
      <c r="Q6" s="7">
        <v>0.667</v>
      </c>
      <c r="R6" s="7">
        <v>0.602</v>
      </c>
      <c r="S6" s="7">
        <v>0.735</v>
      </c>
      <c r="T6" s="7">
        <v>0.735</v>
      </c>
      <c r="U6" s="7">
        <v>0.643</v>
      </c>
      <c r="V6" s="7">
        <v>0.816</v>
      </c>
      <c r="W6" s="7">
        <v>0.712</v>
      </c>
      <c r="X6" s="7">
        <v>0.632</v>
      </c>
      <c r="Y6" s="7">
        <v>0.792</v>
      </c>
      <c r="Z6" s="7">
        <v>0.699</v>
      </c>
      <c r="AA6" s="7">
        <v>0.633</v>
      </c>
      <c r="AB6" s="7">
        <v>0.76</v>
      </c>
      <c r="AC6" s="7">
        <v>0.72</v>
      </c>
      <c r="AD6" s="7">
        <v>0.642</v>
      </c>
      <c r="AE6" s="7">
        <v>0.791</v>
      </c>
      <c r="AF6" s="7">
        <v>0.444</v>
      </c>
      <c r="AG6" s="7">
        <v>0.323</v>
      </c>
      <c r="AH6" s="7">
        <v>0.559</v>
      </c>
      <c r="AI6" s="7">
        <v>0.792</v>
      </c>
      <c r="AJ6" s="7">
        <v>0.727</v>
      </c>
      <c r="AK6" s="7">
        <v>0.848</v>
      </c>
      <c r="AL6" s="7">
        <v>0.736</v>
      </c>
      <c r="AM6" s="7">
        <v>0.659</v>
      </c>
      <c r="AN6" s="7">
        <v>0.824</v>
      </c>
      <c r="AO6" s="7">
        <v>374.675</v>
      </c>
      <c r="AP6" s="7">
        <v>45.0</v>
      </c>
      <c r="AQ6" s="9">
        <v>4203313.0</v>
      </c>
    </row>
    <row r="7">
      <c r="A7" s="5" t="s">
        <v>51</v>
      </c>
      <c r="B7" s="6" t="s">
        <v>52</v>
      </c>
      <c r="C7" s="6" t="s">
        <v>49</v>
      </c>
      <c r="D7" s="7">
        <v>0.599</v>
      </c>
      <c r="E7" s="7">
        <v>72.6</v>
      </c>
      <c r="F7" s="7">
        <v>66.8</v>
      </c>
      <c r="G7" s="7">
        <v>78.5</v>
      </c>
      <c r="H7" s="7">
        <v>0.286</v>
      </c>
      <c r="I7" s="7">
        <v>0.194</v>
      </c>
      <c r="J7" s="7">
        <v>0.378</v>
      </c>
      <c r="K7" s="7">
        <v>0.264</v>
      </c>
      <c r="L7" s="7">
        <v>0.192</v>
      </c>
      <c r="M7" s="7">
        <v>0.344</v>
      </c>
      <c r="N7" s="7">
        <v>0.767</v>
      </c>
      <c r="O7" s="7">
        <v>0.708</v>
      </c>
      <c r="P7" s="7">
        <v>0.828</v>
      </c>
      <c r="Q7" s="7">
        <v>0.68</v>
      </c>
      <c r="R7" s="7">
        <v>0.612</v>
      </c>
      <c r="S7" s="7">
        <v>0.752</v>
      </c>
      <c r="T7" s="7">
        <v>0.714</v>
      </c>
      <c r="U7" s="7">
        <v>0.622</v>
      </c>
      <c r="V7" s="7">
        <v>0.806</v>
      </c>
      <c r="W7" s="7">
        <v>0.736</v>
      </c>
      <c r="X7" s="7">
        <v>0.656</v>
      </c>
      <c r="Y7" s="7">
        <v>0.808</v>
      </c>
      <c r="Z7" s="7">
        <v>0.697</v>
      </c>
      <c r="AA7" s="7">
        <v>0.627</v>
      </c>
      <c r="AB7" s="7">
        <v>0.76</v>
      </c>
      <c r="AC7" s="7">
        <v>0.707</v>
      </c>
      <c r="AD7" s="7">
        <v>0.625</v>
      </c>
      <c r="AE7" s="7">
        <v>0.782</v>
      </c>
      <c r="AF7" s="7">
        <v>0.448</v>
      </c>
      <c r="AG7" s="7">
        <v>0.329</v>
      </c>
      <c r="AH7" s="7">
        <v>0.562</v>
      </c>
      <c r="AI7" s="7">
        <v>0.814</v>
      </c>
      <c r="AJ7" s="7">
        <v>0.754</v>
      </c>
      <c r="AK7" s="7">
        <v>0.869</v>
      </c>
      <c r="AL7" s="7">
        <v>0.778</v>
      </c>
      <c r="AM7" s="7">
        <v>0.703</v>
      </c>
      <c r="AN7" s="7">
        <v>0.853</v>
      </c>
      <c r="AO7" s="7">
        <v>780.757</v>
      </c>
      <c r="AP7" s="7">
        <v>46.0</v>
      </c>
      <c r="AQ7" s="9">
        <v>5561665.0</v>
      </c>
    </row>
    <row r="8">
      <c r="B8" s="6" t="s">
        <v>53</v>
      </c>
      <c r="C8" s="6" t="s">
        <v>45</v>
      </c>
      <c r="D8" s="7">
        <v>0.543</v>
      </c>
      <c r="E8" s="7">
        <v>75.3</v>
      </c>
      <c r="F8" s="7">
        <v>69.5</v>
      </c>
      <c r="G8" s="7">
        <v>80.7</v>
      </c>
      <c r="H8" s="7">
        <v>0.235</v>
      </c>
      <c r="I8" s="7">
        <v>0.153</v>
      </c>
      <c r="J8" s="7">
        <v>0.327</v>
      </c>
      <c r="K8" s="7">
        <v>0.256</v>
      </c>
      <c r="L8" s="7">
        <v>0.184</v>
      </c>
      <c r="M8" s="7">
        <v>0.336</v>
      </c>
      <c r="N8" s="7">
        <v>0.802</v>
      </c>
      <c r="O8" s="7">
        <v>0.742</v>
      </c>
      <c r="P8" s="7">
        <v>0.862</v>
      </c>
      <c r="Q8" s="7">
        <v>0.701</v>
      </c>
      <c r="R8" s="7">
        <v>0.635</v>
      </c>
      <c r="S8" s="7">
        <v>0.77</v>
      </c>
      <c r="T8" s="7">
        <v>0.765</v>
      </c>
      <c r="U8" s="7">
        <v>0.673</v>
      </c>
      <c r="V8" s="7">
        <v>0.847</v>
      </c>
      <c r="W8" s="7">
        <v>0.744</v>
      </c>
      <c r="X8" s="7">
        <v>0.664</v>
      </c>
      <c r="Y8" s="7">
        <v>0.816</v>
      </c>
      <c r="Z8" s="7">
        <v>0.732</v>
      </c>
      <c r="AA8" s="7">
        <v>0.667</v>
      </c>
      <c r="AB8" s="7">
        <v>0.792</v>
      </c>
      <c r="AC8" s="7">
        <v>0.752</v>
      </c>
      <c r="AD8" s="7">
        <v>0.675</v>
      </c>
      <c r="AE8" s="7">
        <v>0.82</v>
      </c>
      <c r="AF8" s="7">
        <v>0.506</v>
      </c>
      <c r="AG8" s="7">
        <v>0.391</v>
      </c>
      <c r="AH8" s="7">
        <v>0.618</v>
      </c>
      <c r="AI8" s="7">
        <v>0.846</v>
      </c>
      <c r="AJ8" s="7">
        <v>0.791</v>
      </c>
      <c r="AK8" s="7">
        <v>0.895</v>
      </c>
      <c r="AL8" s="7">
        <v>0.821</v>
      </c>
      <c r="AM8" s="7">
        <v>0.752</v>
      </c>
      <c r="AN8" s="7">
        <v>0.885</v>
      </c>
      <c r="AO8" s="7">
        <v>6909.443</v>
      </c>
      <c r="AP8" s="7">
        <v>69.0</v>
      </c>
      <c r="AQ8" s="8">
        <v>8.5799425E7</v>
      </c>
    </row>
    <row r="9">
      <c r="B9" s="6" t="s">
        <v>54</v>
      </c>
      <c r="C9" s="6" t="s">
        <v>49</v>
      </c>
      <c r="D9" s="7">
        <v>0.63</v>
      </c>
      <c r="E9" s="7">
        <v>73.5</v>
      </c>
      <c r="F9" s="7">
        <v>65.0</v>
      </c>
      <c r="G9" s="7">
        <v>77.10000000000001</v>
      </c>
      <c r="H9" s="7">
        <v>0.214</v>
      </c>
      <c r="I9" s="7">
        <v>0.194</v>
      </c>
      <c r="J9" s="7">
        <v>0.378</v>
      </c>
      <c r="K9" s="7">
        <v>0.304</v>
      </c>
      <c r="L9" s="7">
        <v>0.208</v>
      </c>
      <c r="M9" s="7">
        <v>0.368</v>
      </c>
      <c r="N9" s="7">
        <v>0.806</v>
      </c>
      <c r="O9" s="7">
        <v>0.702</v>
      </c>
      <c r="P9" s="7">
        <v>0.824</v>
      </c>
      <c r="Q9" s="7">
        <v>0.67</v>
      </c>
      <c r="R9" s="7">
        <v>0.593</v>
      </c>
      <c r="S9" s="7">
        <v>0.731</v>
      </c>
      <c r="T9" s="7">
        <v>0.786</v>
      </c>
      <c r="U9" s="7">
        <v>0.622</v>
      </c>
      <c r="V9" s="7">
        <v>0.806</v>
      </c>
      <c r="W9" s="7">
        <v>0.696</v>
      </c>
      <c r="X9" s="7">
        <v>0.632</v>
      </c>
      <c r="Y9" s="7">
        <v>0.792</v>
      </c>
      <c r="Z9" s="7">
        <v>0.723</v>
      </c>
      <c r="AA9" s="7">
        <v>0.619</v>
      </c>
      <c r="AB9" s="7">
        <v>0.751</v>
      </c>
      <c r="AC9" s="7">
        <v>0.759</v>
      </c>
      <c r="AD9" s="7">
        <v>0.624</v>
      </c>
      <c r="AE9" s="7">
        <v>0.779</v>
      </c>
      <c r="AF9" s="7">
        <v>0.478</v>
      </c>
      <c r="AG9" s="7">
        <v>0.303</v>
      </c>
      <c r="AH9" s="7">
        <v>0.543</v>
      </c>
      <c r="AI9" s="7">
        <v>0.807</v>
      </c>
      <c r="AJ9" s="7">
        <v>0.721</v>
      </c>
      <c r="AK9" s="7">
        <v>0.844</v>
      </c>
      <c r="AL9" s="7">
        <v>0.812</v>
      </c>
      <c r="AM9" s="7">
        <v>0.722</v>
      </c>
      <c r="AN9" s="7">
        <v>0.844</v>
      </c>
      <c r="AO9" s="7">
        <v>18469.049</v>
      </c>
      <c r="AP9" s="7">
        <v>100.0</v>
      </c>
      <c r="AQ9" s="8">
        <v>8.6390017E7</v>
      </c>
    </row>
    <row r="10">
      <c r="B10" s="6" t="s">
        <v>55</v>
      </c>
      <c r="C10" s="6" t="s">
        <v>45</v>
      </c>
      <c r="D10" s="7">
        <v>0.536</v>
      </c>
      <c r="E10" s="7">
        <v>75.3</v>
      </c>
      <c r="F10" s="7">
        <v>69.1</v>
      </c>
      <c r="G10" s="7">
        <v>80.30000000000001</v>
      </c>
      <c r="H10" s="7">
        <v>0.235</v>
      </c>
      <c r="I10" s="7">
        <v>0.122</v>
      </c>
      <c r="J10" s="7">
        <v>0.276</v>
      </c>
      <c r="K10" s="7">
        <v>0.256</v>
      </c>
      <c r="L10" s="7">
        <v>0.216</v>
      </c>
      <c r="M10" s="7">
        <v>0.376</v>
      </c>
      <c r="N10" s="7">
        <v>0.802</v>
      </c>
      <c r="O10" s="7">
        <v>0.761</v>
      </c>
      <c r="P10" s="7">
        <v>0.884</v>
      </c>
      <c r="Q10" s="7">
        <v>0.701</v>
      </c>
      <c r="R10" s="7">
        <v>0.621</v>
      </c>
      <c r="S10" s="7">
        <v>0.745</v>
      </c>
      <c r="T10" s="7">
        <v>0.765</v>
      </c>
      <c r="U10" s="7">
        <v>0.724</v>
      </c>
      <c r="V10" s="7">
        <v>0.878</v>
      </c>
      <c r="W10" s="7">
        <v>0.744</v>
      </c>
      <c r="X10" s="7">
        <v>0.624</v>
      </c>
      <c r="Y10" s="7">
        <v>0.784</v>
      </c>
      <c r="Z10" s="7">
        <v>0.732</v>
      </c>
      <c r="AA10" s="7">
        <v>0.679</v>
      </c>
      <c r="AB10" s="7">
        <v>0.794</v>
      </c>
      <c r="AC10" s="7">
        <v>0.752</v>
      </c>
      <c r="AD10" s="7">
        <v>0.707</v>
      </c>
      <c r="AE10" s="7">
        <v>0.84</v>
      </c>
      <c r="AF10" s="7">
        <v>0.506</v>
      </c>
      <c r="AG10" s="7">
        <v>0.394</v>
      </c>
      <c r="AH10" s="7">
        <v>0.615</v>
      </c>
      <c r="AI10" s="7">
        <v>0.852</v>
      </c>
      <c r="AJ10" s="7">
        <v>0.788</v>
      </c>
      <c r="AK10" s="7">
        <v>0.89</v>
      </c>
      <c r="AL10" s="7">
        <v>0.828</v>
      </c>
      <c r="AM10" s="7">
        <v>0.762</v>
      </c>
      <c r="AN10" s="7">
        <v>0.876</v>
      </c>
      <c r="AO10" s="7">
        <v>47339.686</v>
      </c>
      <c r="AP10" s="7">
        <v>77.0</v>
      </c>
      <c r="AQ10" s="8">
        <v>3.03302657E8</v>
      </c>
    </row>
    <row r="11">
      <c r="B11" s="6" t="s">
        <v>56</v>
      </c>
      <c r="C11" s="6" t="s">
        <v>49</v>
      </c>
      <c r="D11" s="7">
        <v>0.576</v>
      </c>
      <c r="E11" s="7">
        <v>75.8</v>
      </c>
      <c r="F11" s="7">
        <v>70.0</v>
      </c>
      <c r="G11" s="7">
        <v>81.2</v>
      </c>
      <c r="H11" s="7">
        <v>0.224</v>
      </c>
      <c r="I11" s="7">
        <v>0.143</v>
      </c>
      <c r="J11" s="7">
        <v>0.306</v>
      </c>
      <c r="K11" s="7">
        <v>0.256</v>
      </c>
      <c r="L11" s="7">
        <v>0.184</v>
      </c>
      <c r="M11" s="7">
        <v>0.336</v>
      </c>
      <c r="N11" s="7">
        <v>0.809</v>
      </c>
      <c r="O11" s="7">
        <v>0.75</v>
      </c>
      <c r="P11" s="7">
        <v>0.87</v>
      </c>
      <c r="Q11" s="7">
        <v>0.704</v>
      </c>
      <c r="R11" s="7">
        <v>0.639</v>
      </c>
      <c r="S11" s="7">
        <v>0.772</v>
      </c>
      <c r="T11" s="7">
        <v>0.776</v>
      </c>
      <c r="U11" s="7">
        <v>0.694</v>
      </c>
      <c r="V11" s="7">
        <v>0.857</v>
      </c>
      <c r="W11" s="7">
        <v>0.744</v>
      </c>
      <c r="X11" s="7">
        <v>0.664</v>
      </c>
      <c r="Y11" s="7">
        <v>0.816</v>
      </c>
      <c r="Z11" s="7">
        <v>0.738</v>
      </c>
      <c r="AA11" s="7">
        <v>0.676</v>
      </c>
      <c r="AB11" s="7">
        <v>0.796</v>
      </c>
      <c r="AC11" s="7">
        <v>0.76</v>
      </c>
      <c r="AD11" s="7">
        <v>0.687</v>
      </c>
      <c r="AE11" s="7">
        <v>0.828</v>
      </c>
      <c r="AF11" s="7">
        <v>0.516</v>
      </c>
      <c r="AG11" s="7">
        <v>0.402</v>
      </c>
      <c r="AH11" s="7">
        <v>0.628</v>
      </c>
      <c r="AI11" s="7">
        <v>0.832</v>
      </c>
      <c r="AJ11" s="7">
        <v>0.774</v>
      </c>
      <c r="AK11" s="7">
        <v>0.885</v>
      </c>
      <c r="AL11" s="7">
        <v>0.824</v>
      </c>
      <c r="AM11" s="7">
        <v>0.762</v>
      </c>
      <c r="AN11" s="7">
        <v>0.883</v>
      </c>
      <c r="AO11" s="7">
        <v>63707.022</v>
      </c>
      <c r="AP11" s="7">
        <v>82.0</v>
      </c>
      <c r="AQ11" s="8">
        <v>3.04352257E8</v>
      </c>
    </row>
    <row r="14">
      <c r="A14" s="10" t="s">
        <v>57</v>
      </c>
      <c r="K14" s="10" t="s">
        <v>58</v>
      </c>
    </row>
    <row r="1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63</v>
      </c>
      <c r="F15" s="1" t="s">
        <v>64</v>
      </c>
      <c r="G15" s="1" t="s">
        <v>65</v>
      </c>
      <c r="H15" s="1" t="s">
        <v>66</v>
      </c>
      <c r="K15" s="1" t="s">
        <v>59</v>
      </c>
      <c r="L15" s="1" t="s">
        <v>60</v>
      </c>
      <c r="M15" s="1" t="s">
        <v>67</v>
      </c>
      <c r="N15" s="1" t="s">
        <v>68</v>
      </c>
      <c r="O15" s="1" t="s">
        <v>69</v>
      </c>
      <c r="P15" s="1" t="s">
        <v>70</v>
      </c>
      <c r="Q15" s="1" t="s">
        <v>71</v>
      </c>
      <c r="R15" s="1" t="s">
        <v>72</v>
      </c>
      <c r="S15" s="1" t="s">
        <v>73</v>
      </c>
    </row>
    <row r="16">
      <c r="A16" s="5" t="s">
        <v>43</v>
      </c>
      <c r="B16" s="11" t="str">
        <f t="shared" ref="B16:B25" si="1">B2</f>
        <v>VGG16-1K</v>
      </c>
      <c r="C16" s="12">
        <f t="shared" ref="C16:C25" si="2">H2</f>
        <v>0.204</v>
      </c>
      <c r="D16" s="12">
        <f t="shared" ref="D16:D25" si="3">T2</f>
        <v>0.796</v>
      </c>
      <c r="E16" s="12">
        <f t="shared" ref="E16:E25" si="4">N2</f>
        <v>0.815</v>
      </c>
      <c r="F16" s="11">
        <f t="shared" ref="F16:F25" si="5">AC2</f>
        <v>0.769</v>
      </c>
      <c r="G16" s="11">
        <f t="shared" ref="G16:G25" si="6">AF2</f>
        <v>0.496</v>
      </c>
      <c r="H16" s="11">
        <f t="shared" ref="H16:H25" si="7">AP2</f>
        <v>3</v>
      </c>
      <c r="K16" s="5" t="s">
        <v>43</v>
      </c>
      <c r="L16" s="11" t="str">
        <f t="shared" ref="L16:L25" si="8">B2</f>
        <v>VGG16-1K</v>
      </c>
      <c r="M16" s="12">
        <f t="shared" ref="M16:M25" si="9">K2</f>
        <v>0.296</v>
      </c>
      <c r="N16" s="12">
        <f t="shared" ref="N16:N25" si="10">W2</f>
        <v>0.704</v>
      </c>
      <c r="O16" s="12">
        <f t="shared" ref="O16:O25" si="11">Q2</f>
        <v>0.678</v>
      </c>
      <c r="P16" s="11">
        <f t="shared" ref="P16:P25" si="12">Z2</f>
        <v>0.732</v>
      </c>
      <c r="Q16" s="11">
        <f t="shared" ref="Q16:Q25" si="13">AI2</f>
        <v>0.838</v>
      </c>
      <c r="R16" s="11">
        <f t="shared" ref="R16:R25" si="14">AL2</f>
        <v>0.839</v>
      </c>
      <c r="S16" s="11" t="str">
        <f t="shared" ref="S16:S25" si="15">E2 &amp; "%"</f>
        <v>74.4%</v>
      </c>
    </row>
    <row r="17">
      <c r="B17" s="13" t="str">
        <f t="shared" si="1"/>
        <v>InceptionV3-1K</v>
      </c>
      <c r="C17" s="14">
        <f t="shared" si="2"/>
        <v>0.296</v>
      </c>
      <c r="D17" s="14">
        <f t="shared" si="3"/>
        <v>0.704</v>
      </c>
      <c r="E17" s="14">
        <f t="shared" si="4"/>
        <v>0.75</v>
      </c>
      <c r="F17" s="13">
        <f t="shared" si="5"/>
        <v>0.691</v>
      </c>
      <c r="G17" s="13">
        <f t="shared" si="6"/>
        <v>0.397</v>
      </c>
      <c r="H17" s="13">
        <f t="shared" si="7"/>
        <v>65</v>
      </c>
      <c r="L17" s="13" t="str">
        <f t="shared" si="8"/>
        <v>InceptionV3-1K</v>
      </c>
      <c r="M17" s="14">
        <f t="shared" si="9"/>
        <v>0.304</v>
      </c>
      <c r="N17" s="14">
        <f t="shared" si="10"/>
        <v>0.696</v>
      </c>
      <c r="O17" s="14">
        <f t="shared" si="11"/>
        <v>0.645</v>
      </c>
      <c r="P17" s="13">
        <f t="shared" si="12"/>
        <v>0.673</v>
      </c>
      <c r="Q17" s="13">
        <f t="shared" si="13"/>
        <v>0.781</v>
      </c>
      <c r="R17" s="13">
        <f t="shared" si="14"/>
        <v>0.738</v>
      </c>
      <c r="S17" s="13" t="str">
        <f t="shared" si="15"/>
        <v>70%</v>
      </c>
    </row>
    <row r="18">
      <c r="B18" s="13" t="str">
        <f t="shared" si="1"/>
        <v>ResNet50-1K</v>
      </c>
      <c r="C18" s="14">
        <f t="shared" si="2"/>
        <v>0.286</v>
      </c>
      <c r="D18" s="14">
        <f t="shared" si="3"/>
        <v>0.714</v>
      </c>
      <c r="E18" s="14">
        <f t="shared" si="4"/>
        <v>0.763</v>
      </c>
      <c r="F18" s="13">
        <f t="shared" si="5"/>
        <v>0.704</v>
      </c>
      <c r="G18" s="13">
        <f t="shared" si="6"/>
        <v>0.432</v>
      </c>
      <c r="H18" s="13">
        <f t="shared" si="7"/>
        <v>36</v>
      </c>
      <c r="L18" s="13" t="str">
        <f t="shared" si="8"/>
        <v>ResNet50-1K</v>
      </c>
      <c r="M18" s="14">
        <f t="shared" si="9"/>
        <v>0.28</v>
      </c>
      <c r="N18" s="14">
        <f t="shared" si="10"/>
        <v>0.72</v>
      </c>
      <c r="O18" s="14">
        <f t="shared" si="11"/>
        <v>0.667</v>
      </c>
      <c r="P18" s="13">
        <f t="shared" si="12"/>
        <v>0.69</v>
      </c>
      <c r="Q18" s="13">
        <f t="shared" si="13"/>
        <v>0.79</v>
      </c>
      <c r="R18" s="13">
        <f t="shared" si="14"/>
        <v>0.773</v>
      </c>
      <c r="S18" s="13" t="str">
        <f t="shared" si="15"/>
        <v>71.7%</v>
      </c>
    </row>
    <row r="19">
      <c r="B19" s="11" t="str">
        <f t="shared" si="1"/>
        <v>ResNet50-21K</v>
      </c>
      <c r="C19" s="12">
        <f t="shared" si="2"/>
        <v>0.194</v>
      </c>
      <c r="D19" s="12">
        <f t="shared" si="3"/>
        <v>0.806</v>
      </c>
      <c r="E19" s="12">
        <f t="shared" si="4"/>
        <v>0.822</v>
      </c>
      <c r="F19" s="11">
        <f t="shared" si="5"/>
        <v>0.778</v>
      </c>
      <c r="G19" s="11">
        <f t="shared" si="6"/>
        <v>0.507</v>
      </c>
      <c r="H19" s="11">
        <f t="shared" si="7"/>
        <v>25</v>
      </c>
      <c r="L19" s="11" t="str">
        <f t="shared" si="8"/>
        <v>ResNet50-21K</v>
      </c>
      <c r="M19" s="12">
        <f t="shared" si="9"/>
        <v>0.296</v>
      </c>
      <c r="N19" s="12">
        <f t="shared" si="10"/>
        <v>0.704</v>
      </c>
      <c r="O19" s="12">
        <f t="shared" si="11"/>
        <v>0.681</v>
      </c>
      <c r="P19" s="11">
        <f t="shared" si="12"/>
        <v>0.738</v>
      </c>
      <c r="Q19" s="11">
        <f t="shared" si="13"/>
        <v>0.834</v>
      </c>
      <c r="R19" s="11">
        <f t="shared" si="14"/>
        <v>0.811</v>
      </c>
      <c r="S19" s="11" t="str">
        <f t="shared" si="15"/>
        <v>74.9%</v>
      </c>
      <c r="V19" s="13">
        <v>73.56999999999998</v>
      </c>
    </row>
    <row r="20">
      <c r="B20" s="13" t="str">
        <f t="shared" si="1"/>
        <v>MobileNetV3-Large-21K</v>
      </c>
      <c r="C20" s="14">
        <f t="shared" si="2"/>
        <v>0.265</v>
      </c>
      <c r="D20" s="14">
        <f t="shared" si="3"/>
        <v>0.735</v>
      </c>
      <c r="E20" s="14">
        <f t="shared" si="4"/>
        <v>0.774</v>
      </c>
      <c r="F20" s="13">
        <f t="shared" si="5"/>
        <v>0.72</v>
      </c>
      <c r="G20" s="13">
        <f t="shared" si="6"/>
        <v>0.444</v>
      </c>
      <c r="H20" s="13">
        <f t="shared" si="7"/>
        <v>45</v>
      </c>
      <c r="L20" s="13" t="str">
        <f t="shared" si="8"/>
        <v>MobileNetV3-Large-21K</v>
      </c>
      <c r="M20" s="14">
        <f t="shared" si="9"/>
        <v>0.288</v>
      </c>
      <c r="N20" s="14">
        <f t="shared" si="10"/>
        <v>0.712</v>
      </c>
      <c r="O20" s="14">
        <f t="shared" si="11"/>
        <v>0.667</v>
      </c>
      <c r="P20" s="13">
        <f t="shared" si="12"/>
        <v>0.699</v>
      </c>
      <c r="Q20" s="13">
        <f t="shared" si="13"/>
        <v>0.792</v>
      </c>
      <c r="R20" s="13">
        <f t="shared" si="14"/>
        <v>0.736</v>
      </c>
      <c r="S20" s="13" t="str">
        <f t="shared" si="15"/>
        <v>72.2%</v>
      </c>
    </row>
    <row r="21">
      <c r="A21" s="5" t="s">
        <v>51</v>
      </c>
      <c r="B21" s="13" t="str">
        <f t="shared" si="1"/>
        <v>ViT-T-16-21K</v>
      </c>
      <c r="C21" s="14">
        <f t="shared" si="2"/>
        <v>0.286</v>
      </c>
      <c r="D21" s="14">
        <f t="shared" si="3"/>
        <v>0.714</v>
      </c>
      <c r="E21" s="14">
        <f t="shared" si="4"/>
        <v>0.767</v>
      </c>
      <c r="F21" s="13">
        <f t="shared" si="5"/>
        <v>0.707</v>
      </c>
      <c r="G21" s="13">
        <f t="shared" si="6"/>
        <v>0.448</v>
      </c>
      <c r="H21" s="13">
        <f t="shared" si="7"/>
        <v>46</v>
      </c>
      <c r="K21" s="5" t="s">
        <v>51</v>
      </c>
      <c r="L21" s="13" t="str">
        <f t="shared" si="8"/>
        <v>ViT-T-16-21K</v>
      </c>
      <c r="M21" s="14">
        <f t="shared" si="9"/>
        <v>0.264</v>
      </c>
      <c r="N21" s="14">
        <f t="shared" si="10"/>
        <v>0.736</v>
      </c>
      <c r="O21" s="14">
        <f t="shared" si="11"/>
        <v>0.68</v>
      </c>
      <c r="P21" s="13">
        <f t="shared" si="12"/>
        <v>0.697</v>
      </c>
      <c r="Q21" s="13">
        <f t="shared" si="13"/>
        <v>0.814</v>
      </c>
      <c r="R21" s="13">
        <f t="shared" si="14"/>
        <v>0.778</v>
      </c>
      <c r="S21" s="13" t="str">
        <f t="shared" si="15"/>
        <v>72.6%</v>
      </c>
    </row>
    <row r="22">
      <c r="B22" s="13" t="str">
        <f t="shared" si="1"/>
        <v>ViT-B-16-1K</v>
      </c>
      <c r="C22" s="14">
        <f t="shared" si="2"/>
        <v>0.235</v>
      </c>
      <c r="D22" s="14">
        <f t="shared" si="3"/>
        <v>0.765</v>
      </c>
      <c r="E22" s="14">
        <f t="shared" si="4"/>
        <v>0.802</v>
      </c>
      <c r="F22" s="13">
        <f t="shared" si="5"/>
        <v>0.752</v>
      </c>
      <c r="G22" s="13">
        <f t="shared" si="6"/>
        <v>0.506</v>
      </c>
      <c r="H22" s="13">
        <f t="shared" si="7"/>
        <v>69</v>
      </c>
      <c r="L22" s="13" t="str">
        <f t="shared" si="8"/>
        <v>ViT-B-16-1K</v>
      </c>
      <c r="M22" s="14">
        <f t="shared" si="9"/>
        <v>0.256</v>
      </c>
      <c r="N22" s="14">
        <f t="shared" si="10"/>
        <v>0.744</v>
      </c>
      <c r="O22" s="14">
        <f t="shared" si="11"/>
        <v>0.701</v>
      </c>
      <c r="P22" s="13">
        <f t="shared" si="12"/>
        <v>0.732</v>
      </c>
      <c r="Q22" s="13">
        <f t="shared" si="13"/>
        <v>0.846</v>
      </c>
      <c r="R22" s="13">
        <f t="shared" si="14"/>
        <v>0.821</v>
      </c>
      <c r="S22" s="13" t="str">
        <f t="shared" si="15"/>
        <v>75.3%</v>
      </c>
    </row>
    <row r="23">
      <c r="B23" s="11" t="str">
        <f t="shared" si="1"/>
        <v>ViT-B-16-21K</v>
      </c>
      <c r="C23" s="12">
        <f t="shared" si="2"/>
        <v>0.214</v>
      </c>
      <c r="D23" s="12">
        <f t="shared" si="3"/>
        <v>0.786</v>
      </c>
      <c r="E23" s="12">
        <f t="shared" si="4"/>
        <v>0.806</v>
      </c>
      <c r="F23" s="11">
        <f t="shared" si="5"/>
        <v>0.759</v>
      </c>
      <c r="G23" s="11">
        <f t="shared" si="6"/>
        <v>0.478</v>
      </c>
      <c r="H23" s="11">
        <f t="shared" si="7"/>
        <v>100</v>
      </c>
      <c r="L23" s="11" t="str">
        <f t="shared" si="8"/>
        <v>ViT-B-16-21K</v>
      </c>
      <c r="M23" s="12">
        <f t="shared" si="9"/>
        <v>0.304</v>
      </c>
      <c r="N23" s="12">
        <f t="shared" si="10"/>
        <v>0.696</v>
      </c>
      <c r="O23" s="12">
        <f t="shared" si="11"/>
        <v>0.67</v>
      </c>
      <c r="P23" s="11">
        <f t="shared" si="12"/>
        <v>0.723</v>
      </c>
      <c r="Q23" s="11">
        <f t="shared" si="13"/>
        <v>0.807</v>
      </c>
      <c r="R23" s="11">
        <f t="shared" si="14"/>
        <v>0.812</v>
      </c>
      <c r="S23" s="11" t="str">
        <f t="shared" si="15"/>
        <v>73.5%</v>
      </c>
    </row>
    <row r="24">
      <c r="B24" s="11" t="str">
        <f t="shared" si="1"/>
        <v>ViT-L-16-1K</v>
      </c>
      <c r="C24" s="12">
        <f t="shared" si="2"/>
        <v>0.235</v>
      </c>
      <c r="D24" s="12">
        <f t="shared" si="3"/>
        <v>0.765</v>
      </c>
      <c r="E24" s="12">
        <f t="shared" si="4"/>
        <v>0.802</v>
      </c>
      <c r="F24" s="11">
        <f t="shared" si="5"/>
        <v>0.752</v>
      </c>
      <c r="G24" s="11">
        <f t="shared" si="6"/>
        <v>0.506</v>
      </c>
      <c r="H24" s="11">
        <f t="shared" si="7"/>
        <v>77</v>
      </c>
      <c r="L24" s="11" t="str">
        <f t="shared" si="8"/>
        <v>ViT-L-16-1K</v>
      </c>
      <c r="M24" s="12">
        <f t="shared" si="9"/>
        <v>0.256</v>
      </c>
      <c r="N24" s="12">
        <f t="shared" si="10"/>
        <v>0.744</v>
      </c>
      <c r="O24" s="12">
        <f t="shared" si="11"/>
        <v>0.701</v>
      </c>
      <c r="P24" s="11">
        <f t="shared" si="12"/>
        <v>0.732</v>
      </c>
      <c r="Q24" s="11">
        <f t="shared" si="13"/>
        <v>0.852</v>
      </c>
      <c r="R24" s="11">
        <f t="shared" si="14"/>
        <v>0.828</v>
      </c>
      <c r="S24" s="11" t="str">
        <f t="shared" si="15"/>
        <v>75.3%</v>
      </c>
    </row>
    <row r="25">
      <c r="B25" s="11" t="str">
        <f t="shared" si="1"/>
        <v>ViT-L-16-21K</v>
      </c>
      <c r="C25" s="12">
        <f t="shared" si="2"/>
        <v>0.224</v>
      </c>
      <c r="D25" s="12">
        <f t="shared" si="3"/>
        <v>0.776</v>
      </c>
      <c r="E25" s="12">
        <f t="shared" si="4"/>
        <v>0.809</v>
      </c>
      <c r="F25" s="11">
        <f t="shared" si="5"/>
        <v>0.76</v>
      </c>
      <c r="G25" s="11">
        <f t="shared" si="6"/>
        <v>0.516</v>
      </c>
      <c r="H25" s="11">
        <f t="shared" si="7"/>
        <v>82</v>
      </c>
      <c r="L25" s="11" t="str">
        <f t="shared" si="8"/>
        <v>ViT-L-16-21K</v>
      </c>
      <c r="M25" s="12">
        <f t="shared" si="9"/>
        <v>0.256</v>
      </c>
      <c r="N25" s="12">
        <f t="shared" si="10"/>
        <v>0.744</v>
      </c>
      <c r="O25" s="12">
        <f t="shared" si="11"/>
        <v>0.704</v>
      </c>
      <c r="P25" s="11">
        <f t="shared" si="12"/>
        <v>0.738</v>
      </c>
      <c r="Q25" s="11">
        <f t="shared" si="13"/>
        <v>0.832</v>
      </c>
      <c r="R25" s="11">
        <f t="shared" si="14"/>
        <v>0.824</v>
      </c>
      <c r="S25" s="11" t="str">
        <f t="shared" si="15"/>
        <v>75.8%</v>
      </c>
    </row>
    <row r="26">
      <c r="B26" s="15" t="s">
        <v>74</v>
      </c>
      <c r="C26" s="14">
        <f t="shared" ref="C26:G26" si="16">ROUND(AVERAGE(C16:C25), 3)</f>
        <v>0.244</v>
      </c>
      <c r="D26" s="14">
        <f t="shared" si="16"/>
        <v>0.756</v>
      </c>
      <c r="E26" s="14">
        <f t="shared" si="16"/>
        <v>0.791</v>
      </c>
      <c r="F26" s="13">
        <f t="shared" si="16"/>
        <v>0.739</v>
      </c>
      <c r="G26" s="13">
        <f t="shared" si="16"/>
        <v>0.473</v>
      </c>
      <c r="H26" s="13">
        <f>FLOOR(ROUND(AVERAGE(H16:H25), 3),1)</f>
        <v>54</v>
      </c>
      <c r="L26" s="15" t="s">
        <v>74</v>
      </c>
      <c r="M26" s="14">
        <f t="shared" ref="M26:R26" si="17">ROUND(AVERAGE(M16:M25), 3)</f>
        <v>0.28</v>
      </c>
      <c r="N26" s="14">
        <f t="shared" si="17"/>
        <v>0.72</v>
      </c>
      <c r="O26" s="14">
        <f t="shared" si="17"/>
        <v>0.679</v>
      </c>
      <c r="P26" s="13">
        <f t="shared" si="17"/>
        <v>0.715</v>
      </c>
      <c r="Q26" s="13">
        <f t="shared" si="17"/>
        <v>0.819</v>
      </c>
      <c r="R26" s="13">
        <f t="shared" si="17"/>
        <v>0.796</v>
      </c>
      <c r="S26" s="13" t="str">
        <f>ROUND(V19, 1) &amp; "%"</f>
        <v>73.6%</v>
      </c>
    </row>
    <row r="28">
      <c r="A28" s="10" t="s">
        <v>75</v>
      </c>
      <c r="K28" s="10" t="s">
        <v>76</v>
      </c>
    </row>
    <row r="29">
      <c r="A29" s="1" t="s">
        <v>59</v>
      </c>
      <c r="B29" s="1" t="s">
        <v>61</v>
      </c>
      <c r="C29" s="1" t="s">
        <v>62</v>
      </c>
      <c r="D29" s="1" t="s">
        <v>63</v>
      </c>
      <c r="E29" s="1" t="s">
        <v>64</v>
      </c>
      <c r="F29" s="1" t="s">
        <v>65</v>
      </c>
      <c r="G29" s="1" t="s">
        <v>66</v>
      </c>
      <c r="K29" s="1" t="s">
        <v>59</v>
      </c>
      <c r="L29" s="1" t="s">
        <v>67</v>
      </c>
      <c r="M29" s="1" t="s">
        <v>68</v>
      </c>
      <c r="N29" s="1" t="s">
        <v>69</v>
      </c>
      <c r="O29" s="1" t="s">
        <v>70</v>
      </c>
      <c r="P29" s="1" t="s">
        <v>71</v>
      </c>
      <c r="Q29" s="1" t="s">
        <v>72</v>
      </c>
      <c r="R29" s="1" t="s">
        <v>73</v>
      </c>
    </row>
    <row r="30">
      <c r="A30" s="5" t="s">
        <v>43</v>
      </c>
      <c r="B30" s="14">
        <f t="shared" ref="B30:G30" si="18">AVERAGE(C16:C20)</f>
        <v>0.249</v>
      </c>
      <c r="C30" s="14">
        <f t="shared" si="18"/>
        <v>0.751</v>
      </c>
      <c r="D30" s="14">
        <f t="shared" si="18"/>
        <v>0.7848</v>
      </c>
      <c r="E30" s="13">
        <f t="shared" si="18"/>
        <v>0.7324</v>
      </c>
      <c r="F30" s="13">
        <f t="shared" si="18"/>
        <v>0.4552</v>
      </c>
      <c r="G30" s="13">
        <f t="shared" si="18"/>
        <v>34.8</v>
      </c>
      <c r="K30" s="5" t="s">
        <v>43</v>
      </c>
      <c r="L30" s="14">
        <f t="shared" ref="L30:Q30" si="19">AVERAGE(M16:M20)</f>
        <v>0.2928</v>
      </c>
      <c r="M30" s="14">
        <f t="shared" si="19"/>
        <v>0.7072</v>
      </c>
      <c r="N30" s="14">
        <f t="shared" si="19"/>
        <v>0.6676</v>
      </c>
      <c r="O30" s="13">
        <f t="shared" si="19"/>
        <v>0.7064</v>
      </c>
      <c r="P30" s="13">
        <f t="shared" si="19"/>
        <v>0.807</v>
      </c>
      <c r="Q30" s="13">
        <f t="shared" si="19"/>
        <v>0.7794</v>
      </c>
      <c r="R30" s="16">
        <v>0.7264</v>
      </c>
    </row>
    <row r="31">
      <c r="A31" s="5" t="s">
        <v>51</v>
      </c>
      <c r="B31" s="14">
        <f t="shared" ref="B31:G31" si="20">AVERAGE(C21:C25)</f>
        <v>0.2388</v>
      </c>
      <c r="C31" s="14">
        <f t="shared" si="20"/>
        <v>0.7612</v>
      </c>
      <c r="D31" s="14">
        <f t="shared" si="20"/>
        <v>0.7972</v>
      </c>
      <c r="E31" s="13">
        <f t="shared" si="20"/>
        <v>0.746</v>
      </c>
      <c r="F31" s="13">
        <f t="shared" si="20"/>
        <v>0.4908</v>
      </c>
      <c r="G31" s="13">
        <f t="shared" si="20"/>
        <v>74.8</v>
      </c>
      <c r="K31" s="5" t="s">
        <v>51</v>
      </c>
      <c r="L31" s="14">
        <f t="shared" ref="L31:Q31" si="21">AVERAGE(M21:M25)</f>
        <v>0.2672</v>
      </c>
      <c r="M31" s="14">
        <f t="shared" si="21"/>
        <v>0.7328</v>
      </c>
      <c r="N31" s="14">
        <f t="shared" si="21"/>
        <v>0.6912</v>
      </c>
      <c r="O31" s="13">
        <f t="shared" si="21"/>
        <v>0.7244</v>
      </c>
      <c r="P31" s="13">
        <f t="shared" si="21"/>
        <v>0.8302</v>
      </c>
      <c r="Q31" s="13">
        <f t="shared" si="21"/>
        <v>0.8126</v>
      </c>
      <c r="R31" s="16">
        <v>0.745</v>
      </c>
    </row>
    <row r="34">
      <c r="A34" s="10"/>
      <c r="K34" s="10"/>
    </row>
    <row r="35">
      <c r="A35" s="1"/>
      <c r="B35" s="1"/>
      <c r="C35" s="1"/>
      <c r="D35" s="1"/>
      <c r="E35" s="1"/>
      <c r="F35" s="1"/>
      <c r="G35" s="1"/>
      <c r="K35" s="1"/>
      <c r="L35" s="1"/>
      <c r="M35" s="1"/>
      <c r="N35" s="1"/>
      <c r="O35" s="1"/>
      <c r="P35" s="1"/>
      <c r="Q35" s="1"/>
      <c r="R35" s="1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9" max="9" width="20.38"/>
    <col customWidth="1" min="10" max="10" width="11.38"/>
  </cols>
  <sheetData>
    <row r="1">
      <c r="A1" s="17" t="s">
        <v>77</v>
      </c>
      <c r="I1" s="17" t="s">
        <v>78</v>
      </c>
    </row>
    <row r="2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  <c r="I2" s="1" t="s">
        <v>60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1" t="s">
        <v>73</v>
      </c>
    </row>
    <row r="3">
      <c r="A3" s="5" t="s">
        <v>44</v>
      </c>
      <c r="B3" s="16">
        <v>0.0199999999999999</v>
      </c>
      <c r="C3" s="16">
        <v>-0.0199999999999999</v>
      </c>
      <c r="D3" s="16">
        <v>-0.003</v>
      </c>
      <c r="E3" s="5">
        <v>-0.006</v>
      </c>
      <c r="F3" s="5">
        <v>0.0319999999999999</v>
      </c>
      <c r="G3" s="5">
        <v>0.0</v>
      </c>
      <c r="I3" s="5" t="s">
        <v>44</v>
      </c>
      <c r="J3" s="16">
        <v>-0.0559999999999999</v>
      </c>
      <c r="K3" s="16">
        <v>0.0559999999999999</v>
      </c>
      <c r="L3" s="16">
        <v>0.033</v>
      </c>
      <c r="M3" s="5">
        <v>0.011</v>
      </c>
      <c r="N3" s="5">
        <v>-0.014</v>
      </c>
      <c r="O3" s="5">
        <v>0.008</v>
      </c>
      <c r="P3" s="14">
        <v>0.022000000000000002</v>
      </c>
      <c r="S3" s="13">
        <v>0.022000000000000002</v>
      </c>
    </row>
    <row r="4">
      <c r="A4" s="5" t="s">
        <v>46</v>
      </c>
      <c r="B4" s="16">
        <v>0.061</v>
      </c>
      <c r="C4" s="16">
        <v>-0.061</v>
      </c>
      <c r="D4" s="16">
        <v>-0.052</v>
      </c>
      <c r="E4" s="5">
        <v>-0.061</v>
      </c>
      <c r="F4" s="5">
        <v>-0.108999999999999</v>
      </c>
      <c r="G4" s="5">
        <v>21.0</v>
      </c>
      <c r="I4" s="5" t="s">
        <v>46</v>
      </c>
      <c r="J4" s="16">
        <v>0.0479999999999999</v>
      </c>
      <c r="K4" s="16">
        <v>-0.048</v>
      </c>
      <c r="L4" s="16">
        <v>-0.0559999999999999</v>
      </c>
      <c r="M4" s="5">
        <v>-0.0589999999999999</v>
      </c>
      <c r="N4" s="5">
        <v>-0.031</v>
      </c>
      <c r="O4" s="5">
        <v>-0.05</v>
      </c>
      <c r="P4" s="14">
        <v>-0.0529999999999999</v>
      </c>
      <c r="S4" s="13">
        <v>-0.0529999999999999</v>
      </c>
    </row>
    <row r="5">
      <c r="A5" s="5" t="s">
        <v>47</v>
      </c>
      <c r="B5" s="16">
        <v>-0.051</v>
      </c>
      <c r="C5" s="16">
        <v>0.0509999999999999</v>
      </c>
      <c r="D5" s="16">
        <v>0.017</v>
      </c>
      <c r="E5" s="5">
        <v>0.0339999999999999</v>
      </c>
      <c r="F5" s="5">
        <v>-0.01</v>
      </c>
      <c r="G5" s="5">
        <v>-9.0</v>
      </c>
      <c r="I5" s="5" t="s">
        <v>47</v>
      </c>
      <c r="J5" s="16">
        <v>0.056</v>
      </c>
      <c r="K5" s="16">
        <v>-0.056</v>
      </c>
      <c r="L5" s="16">
        <v>-0.0319999999999999</v>
      </c>
      <c r="M5" s="5">
        <v>0.00899999999999989</v>
      </c>
      <c r="N5" s="5">
        <v>-0.01</v>
      </c>
      <c r="O5" s="5">
        <v>-0.005</v>
      </c>
      <c r="P5" s="14">
        <v>-0.00899999999999991</v>
      </c>
      <c r="S5" s="13">
        <v>-0.00899999999999991</v>
      </c>
    </row>
    <row r="6">
      <c r="A6" s="5" t="s">
        <v>48</v>
      </c>
      <c r="B6" s="16">
        <v>-0.0409999999999999</v>
      </c>
      <c r="C6" s="16">
        <v>0.041</v>
      </c>
      <c r="D6" s="16">
        <v>0.0239999999999999</v>
      </c>
      <c r="E6" s="5">
        <v>0.029</v>
      </c>
      <c r="F6" s="5">
        <v>0.017</v>
      </c>
      <c r="G6" s="5">
        <v>-17.0</v>
      </c>
      <c r="I6" s="5" t="s">
        <v>48</v>
      </c>
      <c r="J6" s="16">
        <v>0.0239999999999999</v>
      </c>
      <c r="K6" s="16">
        <v>-0.024</v>
      </c>
      <c r="L6" s="16">
        <v>-0.00699999999999989</v>
      </c>
      <c r="M6" s="5">
        <v>0.013</v>
      </c>
      <c r="N6" s="5">
        <v>0.001</v>
      </c>
      <c r="O6" s="5">
        <v>-0.0129999999999999</v>
      </c>
      <c r="P6" s="14">
        <v>0.005</v>
      </c>
      <c r="S6" s="13">
        <v>0.005</v>
      </c>
    </row>
    <row r="7">
      <c r="A7" s="5" t="s">
        <v>50</v>
      </c>
      <c r="B7" s="16">
        <v>0.041</v>
      </c>
      <c r="C7" s="16">
        <v>-0.041</v>
      </c>
      <c r="D7" s="16">
        <v>-0.024</v>
      </c>
      <c r="E7" s="5">
        <v>-0.031</v>
      </c>
      <c r="F7" s="5">
        <v>-0.024</v>
      </c>
      <c r="G7" s="5">
        <v>0.0</v>
      </c>
      <c r="I7" s="5" t="s">
        <v>50</v>
      </c>
      <c r="J7" s="16">
        <v>-0.016</v>
      </c>
      <c r="K7" s="16">
        <v>0.016</v>
      </c>
      <c r="L7" s="16">
        <v>0.0</v>
      </c>
      <c r="M7" s="5">
        <v>-0.018</v>
      </c>
      <c r="N7" s="5">
        <v>-0.011</v>
      </c>
      <c r="O7" s="5">
        <v>-0.054</v>
      </c>
      <c r="P7" s="14">
        <v>-0.00899999999999991</v>
      </c>
      <c r="S7" s="13">
        <v>-0.00899999999999991</v>
      </c>
    </row>
    <row r="8">
      <c r="A8" s="5" t="s">
        <v>52</v>
      </c>
      <c r="B8" s="16">
        <v>0.0309999999999999</v>
      </c>
      <c r="C8" s="16">
        <v>-0.031</v>
      </c>
      <c r="D8" s="16">
        <v>-0.026</v>
      </c>
      <c r="E8" s="5">
        <v>-0.032</v>
      </c>
      <c r="F8" s="5">
        <v>-0.063</v>
      </c>
      <c r="G8" s="5">
        <v>-32.0</v>
      </c>
      <c r="I8" s="5" t="s">
        <v>52</v>
      </c>
      <c r="J8" s="16">
        <v>0.032</v>
      </c>
      <c r="K8" s="16">
        <v>-0.032</v>
      </c>
      <c r="L8" s="16">
        <v>-0.0359999999999999</v>
      </c>
      <c r="M8" s="5">
        <v>-0.033</v>
      </c>
      <c r="N8" s="5">
        <v>0.001</v>
      </c>
      <c r="O8" s="5">
        <v>0.002</v>
      </c>
      <c r="P8" s="14">
        <v>-0.032</v>
      </c>
      <c r="S8" s="13">
        <v>-0.032</v>
      </c>
    </row>
    <row r="9">
      <c r="A9" s="5" t="s">
        <v>53</v>
      </c>
      <c r="B9" s="16">
        <v>-0.01</v>
      </c>
      <c r="C9" s="16">
        <v>0.01</v>
      </c>
      <c r="D9" s="16">
        <v>0.004</v>
      </c>
      <c r="E9" s="5">
        <v>0.006</v>
      </c>
      <c r="F9" s="5">
        <v>-0.006</v>
      </c>
      <c r="G9" s="5">
        <v>0.0</v>
      </c>
      <c r="I9" s="5" t="s">
        <v>53</v>
      </c>
      <c r="J9" s="16">
        <v>0.016</v>
      </c>
      <c r="K9" s="16">
        <v>-0.016</v>
      </c>
      <c r="L9" s="16">
        <v>-0.011</v>
      </c>
      <c r="M9" s="5">
        <v>-0.001</v>
      </c>
      <c r="N9" s="5">
        <v>0.015</v>
      </c>
      <c r="O9" s="5">
        <v>0.0219999999999999</v>
      </c>
      <c r="P9" s="14">
        <v>-0.005</v>
      </c>
      <c r="S9" s="13">
        <v>-0.005</v>
      </c>
    </row>
    <row r="10">
      <c r="A10" s="5" t="s">
        <v>54</v>
      </c>
      <c r="B10" s="16">
        <v>-0.092</v>
      </c>
      <c r="C10" s="16">
        <v>0.092</v>
      </c>
      <c r="D10" s="16">
        <v>0.065</v>
      </c>
      <c r="E10" s="5">
        <v>0.0779999999999999</v>
      </c>
      <c r="F10" s="5">
        <v>0.0989999999999999</v>
      </c>
      <c r="G10" s="5">
        <v>0.0</v>
      </c>
      <c r="I10" s="5" t="s">
        <v>54</v>
      </c>
      <c r="J10" s="16">
        <v>-0.008</v>
      </c>
      <c r="K10" s="16">
        <v>0.008</v>
      </c>
      <c r="L10" s="16">
        <v>0.034</v>
      </c>
      <c r="M10" s="5">
        <v>0.0599999999999999</v>
      </c>
      <c r="N10" s="5">
        <v>0.057</v>
      </c>
      <c r="O10" s="5">
        <v>0.098</v>
      </c>
      <c r="P10" s="14">
        <v>0.044000000000000004</v>
      </c>
      <c r="S10" s="13">
        <v>0.044000000000000004</v>
      </c>
    </row>
    <row r="11">
      <c r="A11" s="5" t="s">
        <v>55</v>
      </c>
      <c r="B11" s="16">
        <v>-0.01</v>
      </c>
      <c r="C11" s="16">
        <v>0.01</v>
      </c>
      <c r="D11" s="16">
        <v>-0.001</v>
      </c>
      <c r="E11" s="5">
        <v>0.001</v>
      </c>
      <c r="F11" s="5">
        <v>-0.032</v>
      </c>
      <c r="G11" s="5">
        <v>0.0</v>
      </c>
      <c r="I11" s="5" t="s">
        <v>55</v>
      </c>
      <c r="J11" s="16">
        <v>0.04</v>
      </c>
      <c r="K11" s="16">
        <v>-0.04</v>
      </c>
      <c r="L11" s="16">
        <v>-0.032</v>
      </c>
      <c r="M11" s="5">
        <v>-0.012</v>
      </c>
      <c r="N11" s="5">
        <v>0.007</v>
      </c>
      <c r="O11" s="5">
        <v>0.008</v>
      </c>
      <c r="P11" s="14">
        <v>-0.0179999999999999</v>
      </c>
      <c r="S11" s="13">
        <v>-0.0179999999999999</v>
      </c>
    </row>
    <row r="12">
      <c r="A12" s="5" t="s">
        <v>56</v>
      </c>
      <c r="B12" s="16">
        <v>0.0</v>
      </c>
      <c r="C12" s="16">
        <v>0.0</v>
      </c>
      <c r="D12" s="16">
        <v>0.007</v>
      </c>
      <c r="E12" s="5">
        <v>0.006</v>
      </c>
      <c r="F12" s="5">
        <v>0.032</v>
      </c>
      <c r="G12" s="5">
        <v>1.0</v>
      </c>
      <c r="I12" s="5" t="s">
        <v>56</v>
      </c>
      <c r="J12" s="16">
        <v>-0.0319999999999999</v>
      </c>
      <c r="K12" s="16">
        <v>0.032</v>
      </c>
      <c r="L12" s="16">
        <v>0.0249999999999999</v>
      </c>
      <c r="M12" s="5">
        <v>0.014</v>
      </c>
      <c r="N12" s="5">
        <v>0.0199999999999999</v>
      </c>
      <c r="O12" s="5">
        <v>0.0139999999999999</v>
      </c>
      <c r="P12" s="14">
        <v>0.0179999999999999</v>
      </c>
      <c r="S12" s="13">
        <v>0.0179999999999999</v>
      </c>
    </row>
    <row r="13">
      <c r="A13" s="15" t="s">
        <v>79</v>
      </c>
      <c r="B13" s="18">
        <f t="shared" ref="B13:G13" si="1">AVERAGE(B3:B7)</f>
        <v>0.006</v>
      </c>
      <c r="C13" s="18">
        <f t="shared" si="1"/>
        <v>-0.006</v>
      </c>
      <c r="D13" s="18">
        <f t="shared" si="1"/>
        <v>-0.0076</v>
      </c>
      <c r="E13" s="19">
        <f t="shared" si="1"/>
        <v>-0.007</v>
      </c>
      <c r="F13" s="19">
        <f t="shared" si="1"/>
        <v>-0.0188</v>
      </c>
      <c r="G13" s="19">
        <f t="shared" si="1"/>
        <v>-1</v>
      </c>
      <c r="I13" s="15" t="s">
        <v>79</v>
      </c>
      <c r="J13" s="14">
        <f t="shared" ref="J13:O13" si="2">AVERAGE(J3:J7)</f>
        <v>0.0112</v>
      </c>
      <c r="K13" s="14">
        <f t="shared" si="2"/>
        <v>-0.0112</v>
      </c>
      <c r="L13" s="14">
        <f t="shared" si="2"/>
        <v>-0.0124</v>
      </c>
      <c r="M13" s="13">
        <f t="shared" si="2"/>
        <v>-0.0088</v>
      </c>
      <c r="N13" s="13">
        <f t="shared" si="2"/>
        <v>-0.013</v>
      </c>
      <c r="O13" s="13">
        <f t="shared" si="2"/>
        <v>-0.0228</v>
      </c>
      <c r="P13" s="14">
        <v>-0.008799999999999943</v>
      </c>
      <c r="S13" s="13">
        <v>-0.008799999999999943</v>
      </c>
    </row>
    <row r="14">
      <c r="A14" s="15" t="s">
        <v>80</v>
      </c>
      <c r="B14" s="18">
        <f t="shared" ref="B14:G14" si="3">AVERAGE(B8:B12)</f>
        <v>-0.0162</v>
      </c>
      <c r="C14" s="18">
        <f t="shared" si="3"/>
        <v>0.0162</v>
      </c>
      <c r="D14" s="18">
        <f t="shared" si="3"/>
        <v>0.0098</v>
      </c>
      <c r="E14" s="19">
        <f t="shared" si="3"/>
        <v>0.0118</v>
      </c>
      <c r="F14" s="19">
        <f t="shared" si="3"/>
        <v>0.006</v>
      </c>
      <c r="G14" s="19">
        <f t="shared" si="3"/>
        <v>-6.2</v>
      </c>
      <c r="I14" s="15" t="s">
        <v>80</v>
      </c>
      <c r="J14" s="14">
        <f t="shared" ref="J14:O14" si="4">AVERAGE(J8:J12)</f>
        <v>0.0096</v>
      </c>
      <c r="K14" s="14">
        <f t="shared" si="4"/>
        <v>-0.0096</v>
      </c>
      <c r="L14" s="14">
        <f t="shared" si="4"/>
        <v>-0.004</v>
      </c>
      <c r="M14" s="13">
        <f t="shared" si="4"/>
        <v>0.0056</v>
      </c>
      <c r="N14" s="13">
        <f t="shared" si="4"/>
        <v>0.02</v>
      </c>
      <c r="O14" s="13">
        <f t="shared" si="4"/>
        <v>0.0288</v>
      </c>
      <c r="P14" s="14">
        <v>0.0014000000000000004</v>
      </c>
      <c r="S14" s="13">
        <v>0.0014000000000000004</v>
      </c>
    </row>
    <row r="15">
      <c r="A15" s="15" t="s">
        <v>81</v>
      </c>
      <c r="B15" s="18">
        <f t="shared" ref="B15:G15" si="5">AVERAGE(B3:B12)</f>
        <v>-0.0051</v>
      </c>
      <c r="C15" s="18">
        <f t="shared" si="5"/>
        <v>0.0051</v>
      </c>
      <c r="D15" s="18">
        <f t="shared" si="5"/>
        <v>0.0011</v>
      </c>
      <c r="E15" s="19">
        <f t="shared" si="5"/>
        <v>0.0024</v>
      </c>
      <c r="F15" s="19">
        <f t="shared" si="5"/>
        <v>-0.0064</v>
      </c>
      <c r="G15" s="19">
        <f t="shared" si="5"/>
        <v>-3.6</v>
      </c>
      <c r="I15" s="15" t="s">
        <v>81</v>
      </c>
      <c r="J15" s="14">
        <f t="shared" ref="J15:O15" si="6">AVERAGE(J3:J12)</f>
        <v>0.0104</v>
      </c>
      <c r="K15" s="14">
        <f t="shared" si="6"/>
        <v>-0.0104</v>
      </c>
      <c r="L15" s="14">
        <f t="shared" si="6"/>
        <v>-0.0082</v>
      </c>
      <c r="M15" s="13">
        <f t="shared" si="6"/>
        <v>-0.0016</v>
      </c>
      <c r="N15" s="13">
        <f t="shared" si="6"/>
        <v>0.0035</v>
      </c>
      <c r="O15" s="13">
        <f t="shared" si="6"/>
        <v>0.003</v>
      </c>
      <c r="P15" s="14">
        <v>-0.003699999999999973</v>
      </c>
      <c r="S15" s="13">
        <v>-0.003699999999999973</v>
      </c>
    </row>
    <row r="17">
      <c r="A17" s="1" t="s">
        <v>59</v>
      </c>
      <c r="B17" s="1" t="s">
        <v>60</v>
      </c>
      <c r="C17" s="1" t="s">
        <v>61</v>
      </c>
      <c r="D17" s="1" t="s">
        <v>62</v>
      </c>
      <c r="E17" s="1" t="s">
        <v>63</v>
      </c>
      <c r="F17" s="1" t="s">
        <v>64</v>
      </c>
      <c r="G17" s="1" t="s">
        <v>65</v>
      </c>
      <c r="H17" s="1" t="s">
        <v>66</v>
      </c>
      <c r="J17" s="1" t="s">
        <v>59</v>
      </c>
      <c r="K17" s="1" t="s">
        <v>60</v>
      </c>
      <c r="L17" s="1" t="s">
        <v>67</v>
      </c>
      <c r="M17" s="1" t="s">
        <v>68</v>
      </c>
      <c r="N17" s="1" t="s">
        <v>69</v>
      </c>
      <c r="O17" s="1" t="s">
        <v>70</v>
      </c>
      <c r="P17" s="1" t="s">
        <v>71</v>
      </c>
      <c r="Q17" s="1" t="s">
        <v>72</v>
      </c>
      <c r="R17" s="1" t="s">
        <v>73</v>
      </c>
    </row>
    <row r="18">
      <c r="A18" s="5" t="s">
        <v>43</v>
      </c>
      <c r="B18" s="5" t="s">
        <v>44</v>
      </c>
      <c r="C18" s="16">
        <v>0.0199999999999999</v>
      </c>
      <c r="D18" s="16">
        <v>-0.0199999999999999</v>
      </c>
      <c r="E18" s="16">
        <v>-0.003</v>
      </c>
      <c r="F18" s="5">
        <v>-0.006</v>
      </c>
      <c r="G18" s="5">
        <v>0.0319999999999999</v>
      </c>
      <c r="H18" s="5">
        <v>0.0</v>
      </c>
      <c r="J18" s="5" t="s">
        <v>43</v>
      </c>
      <c r="K18" s="5" t="s">
        <v>44</v>
      </c>
      <c r="L18" s="16">
        <v>-0.0559999999999999</v>
      </c>
      <c r="M18" s="16">
        <v>0.0559999999999999</v>
      </c>
      <c r="N18" s="16">
        <v>0.033</v>
      </c>
      <c r="O18" s="5">
        <v>0.011</v>
      </c>
      <c r="P18" s="5">
        <v>-0.014</v>
      </c>
      <c r="Q18" s="5">
        <v>0.008</v>
      </c>
      <c r="R18" s="14">
        <v>0.022000000000000002</v>
      </c>
    </row>
    <row r="19">
      <c r="B19" s="5" t="s">
        <v>46</v>
      </c>
      <c r="C19" s="16">
        <v>0.061</v>
      </c>
      <c r="D19" s="16">
        <v>-0.061</v>
      </c>
      <c r="E19" s="16">
        <v>-0.052</v>
      </c>
      <c r="F19" s="5">
        <v>-0.061</v>
      </c>
      <c r="G19" s="5">
        <v>-0.108999999999999</v>
      </c>
      <c r="H19" s="5">
        <v>21.0</v>
      </c>
      <c r="K19" s="5" t="s">
        <v>46</v>
      </c>
      <c r="L19" s="16">
        <v>0.0479999999999999</v>
      </c>
      <c r="M19" s="16">
        <v>-0.048</v>
      </c>
      <c r="N19" s="16">
        <v>-0.0559999999999999</v>
      </c>
      <c r="O19" s="5">
        <v>-0.0589999999999999</v>
      </c>
      <c r="P19" s="5">
        <v>-0.031</v>
      </c>
      <c r="Q19" s="5">
        <v>-0.05</v>
      </c>
      <c r="R19" s="14">
        <v>-0.0529999999999999</v>
      </c>
    </row>
    <row r="20">
      <c r="B20" s="5" t="s">
        <v>47</v>
      </c>
      <c r="C20" s="16">
        <v>-0.051</v>
      </c>
      <c r="D20" s="16">
        <v>0.0509999999999999</v>
      </c>
      <c r="E20" s="16">
        <v>0.017</v>
      </c>
      <c r="F20" s="5">
        <v>0.0339999999999999</v>
      </c>
      <c r="G20" s="5">
        <v>-0.01</v>
      </c>
      <c r="H20" s="5">
        <v>-9.0</v>
      </c>
      <c r="K20" s="5" t="s">
        <v>47</v>
      </c>
      <c r="L20" s="16">
        <v>0.056</v>
      </c>
      <c r="M20" s="16">
        <v>-0.056</v>
      </c>
      <c r="N20" s="16">
        <v>-0.0319999999999999</v>
      </c>
      <c r="O20" s="5">
        <v>0.00899999999999989</v>
      </c>
      <c r="P20" s="5">
        <v>-0.01</v>
      </c>
      <c r="Q20" s="5">
        <v>-0.005</v>
      </c>
      <c r="R20" s="14">
        <v>-0.00899999999999991</v>
      </c>
    </row>
    <row r="21">
      <c r="B21" s="5" t="s">
        <v>48</v>
      </c>
      <c r="C21" s="16">
        <v>-0.0409999999999999</v>
      </c>
      <c r="D21" s="16">
        <v>0.041</v>
      </c>
      <c r="E21" s="16">
        <v>0.0239999999999999</v>
      </c>
      <c r="F21" s="5">
        <v>0.029</v>
      </c>
      <c r="G21" s="5">
        <v>0.017</v>
      </c>
      <c r="H21" s="5">
        <v>-17.0</v>
      </c>
      <c r="K21" s="5" t="s">
        <v>48</v>
      </c>
      <c r="L21" s="16">
        <v>0.0239999999999999</v>
      </c>
      <c r="M21" s="16">
        <v>-0.024</v>
      </c>
      <c r="N21" s="16">
        <v>-0.00699999999999989</v>
      </c>
      <c r="O21" s="5">
        <v>0.013</v>
      </c>
      <c r="P21" s="5">
        <v>0.001</v>
      </c>
      <c r="Q21" s="5">
        <v>-0.0129999999999999</v>
      </c>
      <c r="R21" s="14">
        <v>0.005</v>
      </c>
    </row>
    <row r="22">
      <c r="B22" s="5" t="s">
        <v>50</v>
      </c>
      <c r="C22" s="16">
        <v>0.041</v>
      </c>
      <c r="D22" s="16">
        <v>-0.041</v>
      </c>
      <c r="E22" s="16">
        <v>-0.024</v>
      </c>
      <c r="F22" s="5">
        <v>-0.031</v>
      </c>
      <c r="G22" s="5">
        <v>-0.024</v>
      </c>
      <c r="H22" s="5">
        <v>0.0</v>
      </c>
      <c r="K22" s="5" t="s">
        <v>50</v>
      </c>
      <c r="L22" s="16">
        <v>-0.016</v>
      </c>
      <c r="M22" s="16">
        <v>0.016</v>
      </c>
      <c r="N22" s="16">
        <v>0.0</v>
      </c>
      <c r="O22" s="5">
        <v>-0.018</v>
      </c>
      <c r="P22" s="5">
        <v>-0.011</v>
      </c>
      <c r="Q22" s="5">
        <v>-0.054</v>
      </c>
      <c r="R22" s="14">
        <v>-0.00899999999999991</v>
      </c>
    </row>
    <row r="23">
      <c r="A23" s="5" t="s">
        <v>51</v>
      </c>
      <c r="B23" s="5" t="s">
        <v>52</v>
      </c>
      <c r="C23" s="16">
        <v>0.0309999999999999</v>
      </c>
      <c r="D23" s="16">
        <v>-0.031</v>
      </c>
      <c r="E23" s="16">
        <v>-0.026</v>
      </c>
      <c r="F23" s="5">
        <v>-0.032</v>
      </c>
      <c r="G23" s="5">
        <v>-0.063</v>
      </c>
      <c r="H23" s="5">
        <v>-32.0</v>
      </c>
      <c r="J23" s="5" t="s">
        <v>51</v>
      </c>
      <c r="K23" s="5" t="s">
        <v>52</v>
      </c>
      <c r="L23" s="16">
        <v>0.032</v>
      </c>
      <c r="M23" s="16">
        <v>-0.032</v>
      </c>
      <c r="N23" s="16">
        <v>-0.0359999999999999</v>
      </c>
      <c r="O23" s="5">
        <v>-0.033</v>
      </c>
      <c r="P23" s="5">
        <v>0.001</v>
      </c>
      <c r="Q23" s="5">
        <v>0.002</v>
      </c>
      <c r="R23" s="14">
        <v>-0.032</v>
      </c>
    </row>
    <row r="24">
      <c r="B24" s="5" t="s">
        <v>53</v>
      </c>
      <c r="C24" s="16">
        <v>-0.01</v>
      </c>
      <c r="D24" s="16">
        <v>0.01</v>
      </c>
      <c r="E24" s="16">
        <v>0.004</v>
      </c>
      <c r="F24" s="5">
        <v>0.006</v>
      </c>
      <c r="G24" s="5">
        <v>-0.006</v>
      </c>
      <c r="H24" s="5">
        <v>0.0</v>
      </c>
      <c r="K24" s="5" t="s">
        <v>53</v>
      </c>
      <c r="L24" s="16">
        <v>0.016</v>
      </c>
      <c r="M24" s="16">
        <v>-0.016</v>
      </c>
      <c r="N24" s="16">
        <v>-0.011</v>
      </c>
      <c r="O24" s="5">
        <v>-0.001</v>
      </c>
      <c r="P24" s="5">
        <v>0.015</v>
      </c>
      <c r="Q24" s="5">
        <v>0.0219999999999999</v>
      </c>
      <c r="R24" s="14">
        <v>-0.005</v>
      </c>
    </row>
    <row r="25">
      <c r="B25" s="5" t="s">
        <v>54</v>
      </c>
      <c r="C25" s="16">
        <v>-0.092</v>
      </c>
      <c r="D25" s="16">
        <v>0.092</v>
      </c>
      <c r="E25" s="16">
        <v>0.065</v>
      </c>
      <c r="F25" s="5">
        <v>0.0779999999999999</v>
      </c>
      <c r="G25" s="5">
        <v>0.0989999999999999</v>
      </c>
      <c r="H25" s="5">
        <v>0.0</v>
      </c>
      <c r="K25" s="5" t="s">
        <v>54</v>
      </c>
      <c r="L25" s="16">
        <v>-0.008</v>
      </c>
      <c r="M25" s="16">
        <v>0.008</v>
      </c>
      <c r="N25" s="16">
        <v>0.034</v>
      </c>
      <c r="O25" s="5">
        <v>0.0599999999999999</v>
      </c>
      <c r="P25" s="5">
        <v>0.057</v>
      </c>
      <c r="Q25" s="5">
        <v>0.098</v>
      </c>
      <c r="R25" s="14">
        <v>0.044000000000000004</v>
      </c>
    </row>
    <row r="26">
      <c r="B26" s="5" t="s">
        <v>55</v>
      </c>
      <c r="C26" s="16">
        <v>-0.01</v>
      </c>
      <c r="D26" s="16">
        <v>0.01</v>
      </c>
      <c r="E26" s="16">
        <v>-0.001</v>
      </c>
      <c r="F26" s="5">
        <v>0.001</v>
      </c>
      <c r="G26" s="5">
        <v>-0.032</v>
      </c>
      <c r="H26" s="5">
        <v>0.0</v>
      </c>
      <c r="K26" s="5" t="s">
        <v>55</v>
      </c>
      <c r="L26" s="16">
        <v>0.04</v>
      </c>
      <c r="M26" s="16">
        <v>-0.04</v>
      </c>
      <c r="N26" s="16">
        <v>-0.032</v>
      </c>
      <c r="O26" s="5">
        <v>-0.012</v>
      </c>
      <c r="P26" s="5">
        <v>0.007</v>
      </c>
      <c r="Q26" s="5">
        <v>0.008</v>
      </c>
      <c r="R26" s="14">
        <v>-0.0179999999999999</v>
      </c>
    </row>
    <row r="27">
      <c r="B27" s="5" t="s">
        <v>56</v>
      </c>
      <c r="C27" s="16">
        <v>0.0</v>
      </c>
      <c r="D27" s="16">
        <v>0.0</v>
      </c>
      <c r="E27" s="16">
        <v>0.007</v>
      </c>
      <c r="F27" s="5">
        <v>0.006</v>
      </c>
      <c r="G27" s="5">
        <v>0.032</v>
      </c>
      <c r="H27" s="5">
        <v>1.0</v>
      </c>
      <c r="K27" s="5" t="s">
        <v>56</v>
      </c>
      <c r="L27" s="16">
        <v>-0.0319999999999999</v>
      </c>
      <c r="M27" s="16">
        <v>0.032</v>
      </c>
      <c r="N27" s="16">
        <v>0.0249999999999999</v>
      </c>
      <c r="O27" s="5">
        <v>0.014</v>
      </c>
      <c r="P27" s="5">
        <v>0.0199999999999999</v>
      </c>
      <c r="Q27" s="5">
        <v>0.0139999999999999</v>
      </c>
      <c r="R27" s="14">
        <v>0.0179999999999999</v>
      </c>
    </row>
    <row r="28">
      <c r="B28" s="5" t="s">
        <v>79</v>
      </c>
      <c r="C28" s="14">
        <v>0.006000000000000003</v>
      </c>
      <c r="D28" s="14">
        <v>-0.006000000000000001</v>
      </c>
      <c r="E28" s="14">
        <v>-0.007600000000000021</v>
      </c>
      <c r="F28" s="13">
        <v>-0.00700000000000002</v>
      </c>
      <c r="G28" s="13">
        <v>-0.018799999999999817</v>
      </c>
      <c r="H28" s="13">
        <v>-1.0</v>
      </c>
      <c r="K28" s="5" t="s">
        <v>79</v>
      </c>
      <c r="L28" s="14">
        <v>0.011199999999999979</v>
      </c>
      <c r="M28" s="14">
        <v>-0.01120000000000002</v>
      </c>
      <c r="N28" s="14">
        <v>-0.012399999999999935</v>
      </c>
      <c r="O28" s="13">
        <v>-0.008800000000000002</v>
      </c>
      <c r="P28" s="13">
        <v>-0.013000000000000001</v>
      </c>
      <c r="Q28" s="13">
        <v>-0.02279999999999998</v>
      </c>
      <c r="R28" s="14">
        <v>-0.008799999999999943</v>
      </c>
    </row>
    <row r="29">
      <c r="B29" s="5" t="s">
        <v>80</v>
      </c>
      <c r="C29" s="14">
        <v>-0.016200000000000016</v>
      </c>
      <c r="D29" s="14">
        <v>0.0162</v>
      </c>
      <c r="E29" s="14">
        <v>0.0098</v>
      </c>
      <c r="F29" s="13">
        <v>0.01179999999999998</v>
      </c>
      <c r="G29" s="13">
        <v>0.005999999999999978</v>
      </c>
      <c r="H29" s="13">
        <v>-6.2</v>
      </c>
      <c r="K29" s="5" t="s">
        <v>80</v>
      </c>
      <c r="L29" s="14">
        <v>0.009600000000000022</v>
      </c>
      <c r="M29" s="14">
        <v>-0.009600000000000001</v>
      </c>
      <c r="N29" s="14">
        <v>-0.004</v>
      </c>
      <c r="O29" s="13">
        <v>0.00559999999999998</v>
      </c>
      <c r="P29" s="13">
        <v>0.019999999999999983</v>
      </c>
      <c r="Q29" s="13">
        <v>0.028799999999999965</v>
      </c>
      <c r="R29" s="14">
        <v>0.0014000000000000004</v>
      </c>
    </row>
    <row r="30">
      <c r="B30" s="5" t="s">
        <v>81</v>
      </c>
      <c r="C30" s="14">
        <v>-0.005100000000000009</v>
      </c>
      <c r="D30" s="14">
        <v>0.0050999999999999995</v>
      </c>
      <c r="E30" s="14">
        <v>0.0010999999999999907</v>
      </c>
      <c r="F30" s="13">
        <v>0.00239999999999998</v>
      </c>
      <c r="G30" s="13">
        <v>-0.00639999999999992</v>
      </c>
      <c r="H30" s="13">
        <v>-3.6</v>
      </c>
      <c r="K30" s="5" t="s">
        <v>81</v>
      </c>
      <c r="L30" s="14">
        <v>0.010400000000000001</v>
      </c>
      <c r="M30" s="14">
        <v>-0.010400000000000012</v>
      </c>
      <c r="N30" s="14">
        <v>-0.008199999999999968</v>
      </c>
      <c r="O30" s="13">
        <v>-0.0016000000000000111</v>
      </c>
      <c r="P30" s="13">
        <v>0.00349999999999999</v>
      </c>
      <c r="Q30" s="13">
        <v>0.002999999999999991</v>
      </c>
      <c r="R30" s="14">
        <v>-0.003699999999999973</v>
      </c>
    </row>
    <row r="32">
      <c r="A32" s="1" t="s">
        <v>82</v>
      </c>
      <c r="B32" s="1" t="s">
        <v>59</v>
      </c>
      <c r="C32" s="1" t="s">
        <v>61</v>
      </c>
      <c r="D32" s="1" t="s">
        <v>62</v>
      </c>
      <c r="E32" s="1" t="s">
        <v>63</v>
      </c>
      <c r="F32" s="1" t="s">
        <v>64</v>
      </c>
      <c r="G32" s="1" t="s">
        <v>65</v>
      </c>
      <c r="H32" s="1" t="s">
        <v>66</v>
      </c>
      <c r="J32" s="1" t="s">
        <v>82</v>
      </c>
      <c r="K32" s="1" t="s">
        <v>59</v>
      </c>
      <c r="L32" s="1" t="s">
        <v>67</v>
      </c>
      <c r="M32" s="1" t="s">
        <v>68</v>
      </c>
      <c r="N32" s="1" t="s">
        <v>69</v>
      </c>
      <c r="O32" s="1" t="s">
        <v>70</v>
      </c>
      <c r="P32" s="1" t="s">
        <v>71</v>
      </c>
      <c r="Q32" s="1" t="s">
        <v>72</v>
      </c>
      <c r="R32" s="1" t="s">
        <v>73</v>
      </c>
    </row>
    <row r="33">
      <c r="A33" s="5">
        <v>1.0</v>
      </c>
      <c r="B33" s="5" t="s">
        <v>43</v>
      </c>
      <c r="C33" s="14">
        <v>0.24300000000000002</v>
      </c>
      <c r="D33" s="14">
        <v>0.757</v>
      </c>
      <c r="E33" s="14">
        <v>0.7924</v>
      </c>
      <c r="F33" s="13">
        <f>ROUND(0.7394,3)</f>
        <v>0.739</v>
      </c>
      <c r="G33" s="13">
        <v>0.47400000000000003</v>
      </c>
      <c r="H33" s="13">
        <v>35.8</v>
      </c>
      <c r="J33" s="5">
        <v>1.0</v>
      </c>
      <c r="K33" s="5" t="s">
        <v>43</v>
      </c>
      <c r="L33" s="14">
        <v>0.2816</v>
      </c>
      <c r="M33" s="14">
        <v>0.7183999999999999</v>
      </c>
      <c r="N33" s="14">
        <v>0.6799999999999999</v>
      </c>
      <c r="O33" s="13">
        <f>ROUND(0.7152,3)</f>
        <v>0.715</v>
      </c>
      <c r="P33" s="13">
        <v>0.8200000000000001</v>
      </c>
      <c r="Q33" s="13">
        <f>ROUND(0.8022,3)</f>
        <v>0.802</v>
      </c>
      <c r="R33" s="16">
        <v>0.7264</v>
      </c>
    </row>
    <row r="34">
      <c r="B34" s="5" t="s">
        <v>51</v>
      </c>
      <c r="C34" s="14">
        <v>0.255</v>
      </c>
      <c r="D34" s="14">
        <v>0.7449999999999999</v>
      </c>
      <c r="E34" s="14">
        <v>0.7874000000000001</v>
      </c>
      <c r="F34" s="13">
        <f>ROUND(0.7342,3)</f>
        <v>0.734</v>
      </c>
      <c r="G34" s="13">
        <f>ROUND(0.4848,3)</f>
        <v>0.485</v>
      </c>
      <c r="H34" s="13">
        <v>81.0</v>
      </c>
      <c r="K34" s="5" t="s">
        <v>51</v>
      </c>
      <c r="L34" s="14">
        <v>0.2576</v>
      </c>
      <c r="M34" s="14">
        <v>0.7424</v>
      </c>
      <c r="N34" s="14">
        <v>0.6952</v>
      </c>
      <c r="O34" s="13">
        <f>ROUND(0.7188,3)</f>
        <v>0.719</v>
      </c>
      <c r="P34" s="13">
        <v>0.8102</v>
      </c>
      <c r="Q34" s="13">
        <f>ROUND(0.7838,3)</f>
        <v>0.784</v>
      </c>
      <c r="R34" s="16">
        <v>0.745</v>
      </c>
    </row>
    <row r="35">
      <c r="A35" s="5">
        <v>2.0</v>
      </c>
      <c r="B35" s="5" t="s">
        <v>43</v>
      </c>
      <c r="C35" s="14">
        <v>0.24900000000000003</v>
      </c>
      <c r="D35" s="14">
        <v>0.751</v>
      </c>
      <c r="E35" s="14">
        <v>0.7847999999999999</v>
      </c>
      <c r="F35" s="13">
        <f>ROUND(0.7324,3)</f>
        <v>0.732</v>
      </c>
      <c r="G35" s="13">
        <f>ROUND(0.4552,3)</f>
        <v>0.455</v>
      </c>
      <c r="H35" s="13">
        <v>34.8</v>
      </c>
      <c r="J35" s="5">
        <v>2.0</v>
      </c>
      <c r="K35" s="5" t="s">
        <v>43</v>
      </c>
      <c r="L35" s="14">
        <v>0.2928</v>
      </c>
      <c r="M35" s="14">
        <v>0.7071999999999999</v>
      </c>
      <c r="N35" s="14">
        <v>0.6676</v>
      </c>
      <c r="O35" s="13">
        <f>ROUND(0.7064,3)</f>
        <v>0.706</v>
      </c>
      <c r="P35" s="13">
        <v>0.807</v>
      </c>
      <c r="Q35" s="13">
        <f>ROUND(0.7794,3)</f>
        <v>0.779</v>
      </c>
      <c r="R35" s="16">
        <v>0.7264</v>
      </c>
    </row>
    <row r="36">
      <c r="B36" s="5" t="s">
        <v>51</v>
      </c>
      <c r="C36" s="14">
        <v>0.23879999999999998</v>
      </c>
      <c r="D36" s="14">
        <v>0.7612</v>
      </c>
      <c r="E36" s="14">
        <v>0.7972</v>
      </c>
      <c r="F36" s="13">
        <v>0.7459999999999999</v>
      </c>
      <c r="G36" s="13">
        <f>ROUND(0.4908,3)</f>
        <v>0.491</v>
      </c>
      <c r="H36" s="13">
        <v>74.8</v>
      </c>
      <c r="K36" s="5" t="s">
        <v>51</v>
      </c>
      <c r="L36" s="14">
        <v>0.2672</v>
      </c>
      <c r="M36" s="14">
        <v>0.7327999999999999</v>
      </c>
      <c r="N36" s="14">
        <v>0.6912</v>
      </c>
      <c r="O36" s="13">
        <f>ROUND(0.7244,3)</f>
        <v>0.724</v>
      </c>
      <c r="P36" s="13">
        <v>0.8301999999999999</v>
      </c>
      <c r="Q36" s="13">
        <f>ROUND(0.8126,3)</f>
        <v>0.813</v>
      </c>
      <c r="R36" s="16">
        <v>0.745</v>
      </c>
    </row>
  </sheetData>
  <drawing r:id="rId1"/>
</worksheet>
</file>